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电力系统状态估计\代码&amp;数据\anomaly_identification-main\dataset\"/>
    </mc:Choice>
  </mc:AlternateContent>
  <xr:revisionPtr revIDLastSave="0" documentId="13_ncr:1_{CFFDE4C4-4AF2-4B1C-970C-0C6BA6565A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00" i="1" l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0"/>
  <sheetViews>
    <sheetView tabSelected="1" workbookViewId="0">
      <selection activeCell="M9" sqref="M9"/>
    </sheetView>
  </sheetViews>
  <sheetFormatPr defaultRowHeight="13.8" x14ac:dyDescent="0.25"/>
  <sheetData>
    <row r="1" spans="1:14" x14ac:dyDescent="0.25">
      <c r="A1">
        <f>44.64394372*(0.3)</f>
        <v>13.393183116000001</v>
      </c>
      <c r="B1">
        <f>-3.43414951692308*(0.3)</f>
        <v>-1.0302448550769232</v>
      </c>
      <c r="C1">
        <f>-10.3024485507692*(0.3)</f>
        <v>-3.0907345652307692</v>
      </c>
      <c r="D1">
        <f>-3.43414951692308*(0.3)</f>
        <v>-1.0302448550769232</v>
      </c>
      <c r="E1">
        <f>-3.43414951692308*(0.3)</f>
        <v>-1.0302448550769232</v>
      </c>
      <c r="F1">
        <f>-3.43414951692308*(0.3)</f>
        <v>-1.0302448550769232</v>
      </c>
      <c r="G1">
        <f>-2.06048971015385*(0.3)</f>
        <v>-0.61814691304615388</v>
      </c>
      <c r="H1">
        <f>-3.43414951692308*(0.3)</f>
        <v>-1.0302448550769232</v>
      </c>
      <c r="I1">
        <f>-3.43414951692308*(0.3)</f>
        <v>-1.0302448550769232</v>
      </c>
      <c r="J1">
        <f>0.686829903384615*(0.3)</f>
        <v>0.20604897101538461</v>
      </c>
      <c r="K1">
        <f>-3.43414951692308*(0.3)</f>
        <v>-1.0302448550769232</v>
      </c>
      <c r="L1">
        <f>-1.68273326329231*(0.3)</f>
        <v>-0.50481997898769226</v>
      </c>
      <c r="M1">
        <f>-3.77756446861539*(0.3)</f>
        <v>-1.1332693405846157</v>
      </c>
      <c r="N1">
        <f>-3.43414951692308*(0.3)</f>
        <v>-1.0302448550769232</v>
      </c>
    </row>
    <row r="2" spans="1:14" x14ac:dyDescent="0.25">
      <c r="A2">
        <f>801.8234319*(0.3)</f>
        <v>240.54702956999998</v>
      </c>
      <c r="B2">
        <f>-61.6787255307692*(0.3)</f>
        <v>-18.503617659230766</v>
      </c>
      <c r="C2">
        <f>-185.036176592308*(0.3)</f>
        <v>-55.510852977692309</v>
      </c>
      <c r="D2">
        <f>-61.6787255307692*(0.3)</f>
        <v>-18.503617659230766</v>
      </c>
      <c r="E2">
        <f>-61.6787255307692*(0.3)</f>
        <v>-18.503617659230766</v>
      </c>
      <c r="F2">
        <f>-61.6787255307692*(0.3)</f>
        <v>-18.503617659230766</v>
      </c>
      <c r="G2">
        <f>-37.0072353184615*(0.3)</f>
        <v>-11.102170595538459</v>
      </c>
      <c r="H2">
        <f>-61.6787255307692*(0.3)</f>
        <v>-18.503617659230766</v>
      </c>
      <c r="I2">
        <f>-61.6787255307692*(0.3)</f>
        <v>-18.503617659230766</v>
      </c>
      <c r="J2">
        <f>12.3357451061538*(0.3)</f>
        <v>3.7007235318461524</v>
      </c>
      <c r="K2">
        <f>-61.6787255307692*(0.3)</f>
        <v>-18.503617659230766</v>
      </c>
      <c r="L2">
        <f>-30.2225755100769*(0.3)</f>
        <v>-9.0667726530230759</v>
      </c>
      <c r="M2">
        <f>-67.8465980838462*(0.3)</f>
        <v>-20.353979425153849</v>
      </c>
      <c r="N2">
        <f>-61.6787255307692*(0.3)</f>
        <v>-18.503617659230766</v>
      </c>
    </row>
    <row r="3" spans="1:14" x14ac:dyDescent="0.25">
      <c r="A3">
        <f>62.46781332*(0.3)</f>
        <v>18.740343996</v>
      </c>
      <c r="B3">
        <f>-4.80521640923077*(0.3)</f>
        <v>-1.4415649227692306</v>
      </c>
      <c r="C3">
        <f>-14.4156492276923*(0.3)</f>
        <v>-4.3246947683076913</v>
      </c>
      <c r="D3">
        <f>-4.80521640923077*(0.3)</f>
        <v>-1.4415649227692306</v>
      </c>
      <c r="E3">
        <f>-4.80521640923077*(0.3)</f>
        <v>-1.4415649227692306</v>
      </c>
      <c r="F3">
        <f>-4.80521640923077*(0.3)</f>
        <v>-1.4415649227692306</v>
      </c>
      <c r="G3">
        <f>-2.88312984553846*(0.3)</f>
        <v>-0.86493895366153839</v>
      </c>
      <c r="H3">
        <f>-4.80521640923077*(0.3)</f>
        <v>-1.4415649227692306</v>
      </c>
      <c r="I3">
        <f>-4.80521640923077*(0.3)</f>
        <v>-1.4415649227692306</v>
      </c>
      <c r="J3">
        <f>0.961043281846154*(0.3)</f>
        <v>0.28831298455384607</v>
      </c>
      <c r="K3">
        <f>-4.80521640923077*(0.3)</f>
        <v>-1.4415649227692306</v>
      </c>
      <c r="L3">
        <f>-2.35455604052308*(0.3)</f>
        <v>-0.70636681215692299</v>
      </c>
      <c r="M3">
        <f>-5.28573805015385*(0.3)</f>
        <v>-1.585721415046154</v>
      </c>
      <c r="N3">
        <f>-4.80521640923077*(0.3)</f>
        <v>-1.4415649227692306</v>
      </c>
    </row>
    <row r="4" spans="1:14" x14ac:dyDescent="0.25">
      <c r="A4">
        <f>1077.270403*(0.3)</f>
        <v>323.1811209</v>
      </c>
      <c r="B4">
        <f>-82.8669540769231*(0.3)</f>
        <v>-24.860086223076923</v>
      </c>
      <c r="C4">
        <f>-248.600862230769*(0.3)</f>
        <v>-74.580258669230759</v>
      </c>
      <c r="D4">
        <f>-82.8669540769231*(0.3)</f>
        <v>-24.860086223076923</v>
      </c>
      <c r="E4">
        <f>-82.8669540769231*(0.3)</f>
        <v>-24.860086223076923</v>
      </c>
      <c r="F4">
        <f>-82.8669540769231*(0.3)</f>
        <v>-24.860086223076923</v>
      </c>
      <c r="G4">
        <f>-49.7201724461538*(0.3)</f>
        <v>-14.916051733846153</v>
      </c>
      <c r="H4">
        <f>-82.8669540769231*(0.3)</f>
        <v>-24.860086223076923</v>
      </c>
      <c r="I4">
        <f>-82.8669540769231*(0.3)</f>
        <v>-24.860086223076923</v>
      </c>
      <c r="J4">
        <f>16.5733908153846*(0.3)</f>
        <v>4.9720172446153841</v>
      </c>
      <c r="K4">
        <f>-82.8669540769231*(0.3)</f>
        <v>-24.860086223076923</v>
      </c>
      <c r="L4">
        <f>-40.6048074976923*(0.3)</f>
        <v>-12.181442249307691</v>
      </c>
      <c r="M4">
        <f>-91.1536494846154*(0.3)</f>
        <v>-27.34609484538462</v>
      </c>
      <c r="N4">
        <f>-82.8669540769231*(0.3)</f>
        <v>-24.860086223076923</v>
      </c>
    </row>
    <row r="5" spans="1:14" x14ac:dyDescent="0.25">
      <c r="A5">
        <f>78.96875778*(0.3)</f>
        <v>23.690627334000002</v>
      </c>
      <c r="B5">
        <f>-6.07451982923077*(0.3)</f>
        <v>-1.8223559487692309</v>
      </c>
      <c r="C5">
        <f>-18.2235594876923*(0.3)</f>
        <v>-5.4670678463076925</v>
      </c>
      <c r="D5">
        <f>-6.07451982923077*(0.3)</f>
        <v>-1.8223559487692309</v>
      </c>
      <c r="E5">
        <f>-6.07451982923077*(0.3)</f>
        <v>-1.8223559487692309</v>
      </c>
      <c r="F5">
        <f>-6.07451982923077*(0.3)</f>
        <v>-1.8223559487692309</v>
      </c>
      <c r="G5">
        <f>-3.64471189753846*(0.3)</f>
        <v>-1.0934135692615385</v>
      </c>
      <c r="H5">
        <f>-6.07451982923077*(0.3)</f>
        <v>-1.8223559487692309</v>
      </c>
      <c r="I5">
        <f>-6.07451982923077*(0.3)</f>
        <v>-1.8223559487692309</v>
      </c>
      <c r="J5">
        <f>1.21490396584615*(0.3)</f>
        <v>0.36447118975384613</v>
      </c>
      <c r="K5">
        <f>-6.07451982923077*(0.3)</f>
        <v>-1.8223559487692309</v>
      </c>
      <c r="L5">
        <f>-2.97651471632308*(0.3)</f>
        <v>-0.89295441489692318</v>
      </c>
      <c r="M5">
        <f>-6.68197181215385*(0.3)</f>
        <v>-2.0045915436461539</v>
      </c>
      <c r="N5">
        <f>-6.07451982923077*(0.3)</f>
        <v>-1.8223559487692309</v>
      </c>
    </row>
    <row r="6" spans="1:14" x14ac:dyDescent="0.25">
      <c r="A6">
        <f>1361.92135*(0.3)</f>
        <v>408.57640500000002</v>
      </c>
      <c r="B6">
        <f>-104.763180769231*(0.3)</f>
        <v>-31.428954230769229</v>
      </c>
      <c r="C6">
        <f>-314.289542307692*(0.3)</f>
        <v>-94.286862692307693</v>
      </c>
      <c r="D6">
        <f>-104.763180769231*(0.3)</f>
        <v>-31.428954230769229</v>
      </c>
      <c r="E6">
        <f>-104.763180769231*(0.3)</f>
        <v>-31.428954230769229</v>
      </c>
      <c r="F6">
        <f>-104.763180769231*(0.3)</f>
        <v>-31.428954230769229</v>
      </c>
      <c r="G6">
        <f>-62.8579084615385*(0.3)</f>
        <v>-18.857372538461536</v>
      </c>
      <c r="H6">
        <f>-104.763180769231*(0.3)</f>
        <v>-31.428954230769229</v>
      </c>
      <c r="I6">
        <f>-104.763180769231*(0.3)</f>
        <v>-31.428954230769229</v>
      </c>
      <c r="J6">
        <f>20.9526361538462*(0.3)</f>
        <v>6.2857908461538452</v>
      </c>
      <c r="K6">
        <f>-104.763180769231*(0.3)</f>
        <v>-31.428954230769229</v>
      </c>
      <c r="L6">
        <f>-51.3339585769231*(0.3)</f>
        <v>-15.400187573076922</v>
      </c>
      <c r="M6">
        <f>-115.239498846154*(0.3)</f>
        <v>-34.571849653846158</v>
      </c>
      <c r="N6">
        <f>-104.763180769231*(0.3)</f>
        <v>-31.428954230769229</v>
      </c>
    </row>
    <row r="7" spans="1:14" x14ac:dyDescent="0.25">
      <c r="A7">
        <f>93.70765527*(0.3)</f>
        <v>28.112296580999999</v>
      </c>
      <c r="B7">
        <f>-7.20828117461538*(0.3)</f>
        <v>-2.1624843523846153</v>
      </c>
      <c r="C7">
        <f>-21.6248435238462*(0.3)</f>
        <v>-6.4874530571538456</v>
      </c>
      <c r="D7">
        <f>-7.20828117461538*(0.3)</f>
        <v>-2.1624843523846153</v>
      </c>
      <c r="E7">
        <f>-7.20828117461538*(0.3)</f>
        <v>-2.1624843523846153</v>
      </c>
      <c r="F7">
        <f>-7.20828117461538*(0.3)</f>
        <v>-2.1624843523846153</v>
      </c>
      <c r="G7">
        <f>-4.32496870476923*(0.3)</f>
        <v>-1.2974906114307692</v>
      </c>
      <c r="H7">
        <f>-7.20828117461538*(0.3)</f>
        <v>-2.1624843523846153</v>
      </c>
      <c r="I7">
        <f>-7.20828117461538*(0.3)</f>
        <v>-2.1624843523846153</v>
      </c>
      <c r="J7">
        <f>1.44165623492308*(0.3)</f>
        <v>0.43249687047692298</v>
      </c>
      <c r="K7">
        <f>-7.20828117461538*(0.3)</f>
        <v>-2.1624843523846153</v>
      </c>
      <c r="L7">
        <f>-3.53205777556154*(0.3)</f>
        <v>-1.0596173326684615</v>
      </c>
      <c r="M7">
        <f>-7.92910929207692*(0.3)</f>
        <v>-2.3787327876230773</v>
      </c>
      <c r="N7">
        <f>-7.20828117461538*(0.3)</f>
        <v>-2.1624843523846153</v>
      </c>
    </row>
    <row r="8" spans="1:14" x14ac:dyDescent="0.25">
      <c r="A8">
        <f>1646.496814*(0.3)</f>
        <v>493.9490442</v>
      </c>
      <c r="B8">
        <f>-126.653601076923*(0.3)</f>
        <v>-37.996080323076924</v>
      </c>
      <c r="C8">
        <f>-379.960803230769*(0.3)</f>
        <v>-113.98824096923076</v>
      </c>
      <c r="D8">
        <f>-126.653601076923*(0.3)</f>
        <v>-37.996080323076924</v>
      </c>
      <c r="E8">
        <f>-126.653601076923*(0.3)</f>
        <v>-37.996080323076924</v>
      </c>
      <c r="F8">
        <f>-126.653601076923*(0.3)</f>
        <v>-37.996080323076924</v>
      </c>
      <c r="G8">
        <f>-75.9921606461538*(0.3)</f>
        <v>-22.797648193846154</v>
      </c>
      <c r="H8">
        <f>-126.653601076923*(0.3)</f>
        <v>-37.996080323076924</v>
      </c>
      <c r="I8">
        <f>-126.653601076923*(0.3)</f>
        <v>-37.996080323076924</v>
      </c>
      <c r="J8">
        <f>25.3307202153846*(0.3)</f>
        <v>7.5992160646153826</v>
      </c>
      <c r="K8">
        <f>-126.653601076923*(0.3)</f>
        <v>-37.996080323076924</v>
      </c>
      <c r="L8">
        <f>-62.0602645276923*(0.3)</f>
        <v>-18.618079358307693</v>
      </c>
      <c r="M8">
        <f>-139.318961184615*(0.3)</f>
        <v>-41.79568835538462</v>
      </c>
      <c r="N8">
        <f>-126.653601076923*(0.3)</f>
        <v>-37.996080323076924</v>
      </c>
    </row>
    <row r="9" spans="1:14" x14ac:dyDescent="0.25">
      <c r="A9">
        <f>104.82195*(0.3)</f>
        <v>31.446584999999999</v>
      </c>
      <c r="B9">
        <f>-8.06322692307692*(0.3)</f>
        <v>-2.4189680769230768</v>
      </c>
      <c r="C9">
        <f>-24.1896807692308*(0.3)</f>
        <v>-7.25690423076923</v>
      </c>
      <c r="D9">
        <f>-8.06322692307692*(0.3)</f>
        <v>-2.4189680769230768</v>
      </c>
      <c r="E9">
        <f>-8.06322692307692*(0.3)</f>
        <v>-2.4189680769230768</v>
      </c>
      <c r="F9">
        <f>-8.06322692307692*(0.3)</f>
        <v>-2.4189680769230768</v>
      </c>
      <c r="G9">
        <f>-4.83793615384615*(0.3)</f>
        <v>-1.451380846153846</v>
      </c>
      <c r="H9">
        <f>-8.06322692307692*(0.3)</f>
        <v>-2.4189680769230768</v>
      </c>
      <c r="I9">
        <f>-8.06322692307692*(0.3)</f>
        <v>-2.4189680769230768</v>
      </c>
      <c r="J9">
        <f>1.61264538461538*(0.3)</f>
        <v>0.48379361538461529</v>
      </c>
      <c r="K9">
        <f>-8.06322692307692*(0.3)</f>
        <v>-2.4189680769230768</v>
      </c>
      <c r="L9">
        <f>-3.95098119230769*(0.3)</f>
        <v>-1.1852943576923076</v>
      </c>
      <c r="M9">
        <f>-8.86954961538462*(0.3)</f>
        <v>-2.6608648846153851</v>
      </c>
      <c r="N9">
        <f>-8.06322692307692*(0.3)</f>
        <v>-2.4189680769230768</v>
      </c>
    </row>
    <row r="10" spans="1:14" x14ac:dyDescent="0.25">
      <c r="A10">
        <f>1940.031379*(0.3)</f>
        <v>582.00941369999998</v>
      </c>
      <c r="B10">
        <f>-149.233183*(0.3)</f>
        <v>-44.769954899999995</v>
      </c>
      <c r="C10">
        <f>-447.699549*(0.3)</f>
        <v>-134.30986469999999</v>
      </c>
      <c r="D10">
        <f>-149.233183*(0.3)</f>
        <v>-44.769954899999995</v>
      </c>
      <c r="E10">
        <f>-149.233183*(0.3)</f>
        <v>-44.769954899999995</v>
      </c>
      <c r="F10">
        <f>-149.233183*(0.3)</f>
        <v>-44.769954899999995</v>
      </c>
      <c r="G10">
        <f>-89.5399098*(0.3)</f>
        <v>-26.861972939999998</v>
      </c>
      <c r="H10">
        <f>-149.233183*(0.3)</f>
        <v>-44.769954899999995</v>
      </c>
      <c r="I10">
        <f>-149.233183*(0.3)</f>
        <v>-44.769954899999995</v>
      </c>
      <c r="J10">
        <f>29.8466366*(0.3)</f>
        <v>8.9539909799999968</v>
      </c>
      <c r="K10">
        <f>-149.233183*(0.3)</f>
        <v>-44.769954899999995</v>
      </c>
      <c r="L10">
        <f>-73.12425967*(0.3)</f>
        <v>-21.937277900999998</v>
      </c>
      <c r="M10">
        <f>-164.1565013*(0.3)</f>
        <v>-49.246950390000002</v>
      </c>
      <c r="N10">
        <f>-149.233183*(0.3)</f>
        <v>-44.769954899999995</v>
      </c>
    </row>
    <row r="11" spans="1:14" x14ac:dyDescent="0.25">
      <c r="A11">
        <f>116.2432576*(0.3)</f>
        <v>34.872977280000001</v>
      </c>
      <c r="B11">
        <f>-8.94178904615385*(0.3)</f>
        <v>-2.682536713846154</v>
      </c>
      <c r="C11">
        <f>-26.8253671384615*(0.3)</f>
        <v>-8.0476101415384615</v>
      </c>
      <c r="D11">
        <f>-8.94178904615385*(0.3)</f>
        <v>-2.682536713846154</v>
      </c>
      <c r="E11">
        <f>-8.94178904615385*(0.3)</f>
        <v>-2.682536713846154</v>
      </c>
      <c r="F11">
        <f>-8.94178904615385*(0.3)</f>
        <v>-2.682536713846154</v>
      </c>
      <c r="G11">
        <f>-5.36507342769231*(0.3)</f>
        <v>-1.6095220283076923</v>
      </c>
      <c r="H11">
        <f>-8.94178904615385*(0.3)</f>
        <v>-2.682536713846154</v>
      </c>
      <c r="I11">
        <f>-8.94178904615385*(0.3)</f>
        <v>-2.682536713846154</v>
      </c>
      <c r="J11">
        <f>1.78835780923077*(0.3)</f>
        <v>0.53650734276923073</v>
      </c>
      <c r="K11">
        <f>-8.94178904615385*(0.3)</f>
        <v>-2.682536713846154</v>
      </c>
      <c r="L11">
        <f>-4.38147663261539*(0.3)</f>
        <v>-1.3144429897846155</v>
      </c>
      <c r="M11">
        <f>-9.83596795076923*(0.3)</f>
        <v>-2.9507903852307695</v>
      </c>
      <c r="N11">
        <f>-8.94178904615385*(0.3)</f>
        <v>-2.682536713846154</v>
      </c>
    </row>
    <row r="12" spans="1:14" x14ac:dyDescent="0.25">
      <c r="A12">
        <f>2236.633822*(0.3)</f>
        <v>670.99014659999989</v>
      </c>
      <c r="B12">
        <f>-172.048755538462*(0.3)</f>
        <v>-51.614626661538459</v>
      </c>
      <c r="C12">
        <f>-516.146266615385*(0.3)</f>
        <v>-154.84387998461537</v>
      </c>
      <c r="D12">
        <f>-172.048755538462*(0.3)</f>
        <v>-51.614626661538459</v>
      </c>
      <c r="E12">
        <f>-172.048755538462*(0.3)</f>
        <v>-51.614626661538459</v>
      </c>
      <c r="F12">
        <f>-172.048755538462*(0.3)</f>
        <v>-51.614626661538459</v>
      </c>
      <c r="G12">
        <f>-103.229253323077*(0.3)</f>
        <v>-30.968775996923075</v>
      </c>
      <c r="H12">
        <f>-172.048755538462*(0.3)</f>
        <v>-51.614626661538459</v>
      </c>
      <c r="I12">
        <f>-172.048755538462*(0.3)</f>
        <v>-51.614626661538459</v>
      </c>
      <c r="J12">
        <f>34.4097511076923*(0.3)</f>
        <v>10.32292533230769</v>
      </c>
      <c r="K12">
        <f>-172.048755538462*(0.3)</f>
        <v>-51.614626661538459</v>
      </c>
      <c r="L12">
        <f>-84.3038902138461*(0.3)</f>
        <v>-25.291167064153843</v>
      </c>
      <c r="M12">
        <f>-189.253631092308*(0.3)</f>
        <v>-56.776089327692311</v>
      </c>
      <c r="N12">
        <f>-172.048755538462*(0.3)</f>
        <v>-51.614626661538459</v>
      </c>
    </row>
    <row r="13" spans="1:14" x14ac:dyDescent="0.25">
      <c r="A13">
        <f>124.7984217*(0.3)</f>
        <v>37.43952651</v>
      </c>
      <c r="B13">
        <f>-9.59987859230769*(0.3)</f>
        <v>-2.8799635776923078</v>
      </c>
      <c r="C13">
        <f>-28.7996357769231*(0.3)</f>
        <v>-8.639890733076923</v>
      </c>
      <c r="D13">
        <f>-9.59987859230769*(0.3)</f>
        <v>-2.8799635776923078</v>
      </c>
      <c r="E13">
        <f>-9.59987859230769*(0.3)</f>
        <v>-2.8799635776923078</v>
      </c>
      <c r="F13">
        <f>-9.59987859230769*(0.3)</f>
        <v>-2.8799635776923078</v>
      </c>
      <c r="G13">
        <f>-5.75992715538462*(0.3)</f>
        <v>-1.7279781466153847</v>
      </c>
      <c r="H13">
        <f>-9.59987859230769*(0.3)</f>
        <v>-2.8799635776923078</v>
      </c>
      <c r="I13">
        <f>-9.59987859230769*(0.3)</f>
        <v>-2.8799635776923078</v>
      </c>
      <c r="J13">
        <f>1.91997571846154*(0.3)</f>
        <v>0.57599271553846143</v>
      </c>
      <c r="K13">
        <f>-9.59987859230769*(0.3)</f>
        <v>-2.8799635776923078</v>
      </c>
      <c r="L13">
        <f>-4.70394051023077*(0.3)</f>
        <v>-1.411182153069231</v>
      </c>
      <c r="M13">
        <f>-10.5598664515385*(0.3)</f>
        <v>-3.1679599354615386</v>
      </c>
      <c r="N13">
        <f>-9.59987859230769*(0.3)</f>
        <v>-2.8799635776923078</v>
      </c>
    </row>
    <row r="14" spans="1:14" x14ac:dyDescent="0.25">
      <c r="A14">
        <f>2537.43097*(0.3)</f>
        <v>761.22929099999999</v>
      </c>
      <c r="B14">
        <f>-195.186997692308*(0.3)</f>
        <v>-58.5560993076923</v>
      </c>
      <c r="C14">
        <f>-585.560993076923*(0.3)</f>
        <v>-175.66829792307692</v>
      </c>
      <c r="D14">
        <f>-195.186997692308*(0.3)</f>
        <v>-58.5560993076923</v>
      </c>
      <c r="E14">
        <f>-195.186997692308*(0.3)</f>
        <v>-58.5560993076923</v>
      </c>
      <c r="F14">
        <f>-195.186997692308*(0.3)</f>
        <v>-58.5560993076923</v>
      </c>
      <c r="G14">
        <f>-117.112198615385*(0.3)</f>
        <v>-35.13365958461538</v>
      </c>
      <c r="H14">
        <f>-195.186997692308*(0.3)</f>
        <v>-58.5560993076923</v>
      </c>
      <c r="I14">
        <f>-195.186997692308*(0.3)</f>
        <v>-58.5560993076923</v>
      </c>
      <c r="J14">
        <f>39.0373995384615*(0.3)</f>
        <v>11.711219861538458</v>
      </c>
      <c r="K14">
        <f>-195.186997692308*(0.3)</f>
        <v>-58.5560993076923</v>
      </c>
      <c r="L14">
        <f>-95.6416288692308*(0.3)</f>
        <v>-28.692488660769225</v>
      </c>
      <c r="M14">
        <f>-214.705697461538*(0.3)</f>
        <v>-64.411709238461526</v>
      </c>
      <c r="N14">
        <f>-195.186997692308*(0.3)</f>
        <v>-58.5560993076923</v>
      </c>
    </row>
    <row r="15" spans="1:14" x14ac:dyDescent="0.25">
      <c r="A15">
        <f>131.173809*(0.3)</f>
        <v>39.352142700000002</v>
      </c>
      <c r="B15">
        <f>-10.090293*(0.3)</f>
        <v>-3.0270879000000002</v>
      </c>
      <c r="C15">
        <f>-30.270879*(0.3)</f>
        <v>-9.0812636999999992</v>
      </c>
      <c r="D15">
        <f>-10.090293*(0.3)</f>
        <v>-3.0270879000000002</v>
      </c>
      <c r="E15">
        <f>-10.090293*(0.3)</f>
        <v>-3.0270879000000002</v>
      </c>
      <c r="F15">
        <f>-10.090293*(0.3)</f>
        <v>-3.0270879000000002</v>
      </c>
      <c r="G15">
        <f>-6.0541758*(0.3)</f>
        <v>-1.8162527399999999</v>
      </c>
      <c r="H15">
        <f>-10.090293*(0.3)</f>
        <v>-3.0270879000000002</v>
      </c>
      <c r="I15">
        <f>-10.090293*(0.3)</f>
        <v>-3.0270879000000002</v>
      </c>
      <c r="J15">
        <f>2.0180586*(0.3)</f>
        <v>0.6054175799999999</v>
      </c>
      <c r="K15">
        <f>-10.090293*(0.3)</f>
        <v>-3.0270879000000002</v>
      </c>
      <c r="L15">
        <f>-4.94424357*(0.3)</f>
        <v>-1.4832730709999999</v>
      </c>
      <c r="M15">
        <f>-11.0993223*(0.3)</f>
        <v>-3.3297966900000007</v>
      </c>
      <c r="N15">
        <f>-10.090293*(0.3)</f>
        <v>-3.0270879000000002</v>
      </c>
    </row>
    <row r="16" spans="1:14" x14ac:dyDescent="0.25">
      <c r="A16">
        <f>2845.455411*(0.3)</f>
        <v>853.6366233</v>
      </c>
      <c r="B16">
        <f>-218.881185461538*(0.3)</f>
        <v>-65.664355638461529</v>
      </c>
      <c r="C16">
        <f>-656.643556384615*(0.3)</f>
        <v>-196.99306691538459</v>
      </c>
      <c r="D16">
        <f>-218.881185461538*(0.3)</f>
        <v>-65.664355638461529</v>
      </c>
      <c r="E16">
        <f>-218.881185461538*(0.3)</f>
        <v>-65.664355638461529</v>
      </c>
      <c r="F16">
        <f>-218.881185461538*(0.3)</f>
        <v>-65.664355638461529</v>
      </c>
      <c r="G16">
        <f>-131.328711276923*(0.3)</f>
        <v>-39.398613383076913</v>
      </c>
      <c r="H16">
        <f>-218.881185461538*(0.3)</f>
        <v>-65.664355638461529</v>
      </c>
      <c r="I16">
        <f>-218.881185461538*(0.3)</f>
        <v>-65.664355638461529</v>
      </c>
      <c r="J16">
        <f>43.7762370923077*(0.3)</f>
        <v>13.132871127692304</v>
      </c>
      <c r="K16">
        <f>-218.881185461538*(0.3)</f>
        <v>-65.664355638461529</v>
      </c>
      <c r="L16">
        <f>-107.251780876154*(0.3)</f>
        <v>-32.175534262846149</v>
      </c>
      <c r="M16">
        <f>-240.769304007692*(0.3)</f>
        <v>-72.230791202307685</v>
      </c>
      <c r="N16">
        <f>-218.881185461538*(0.3)</f>
        <v>-65.664355638461529</v>
      </c>
    </row>
    <row r="17" spans="1:14" x14ac:dyDescent="0.25">
      <c r="A17">
        <f>-58.83415222*(0.3)</f>
        <v>-17.650245666</v>
      </c>
      <c r="B17">
        <f>4.52570401692308*(0.3)</f>
        <v>1.3577112050769231</v>
      </c>
      <c r="C17">
        <f>13.5771120507692*(0.3)</f>
        <v>4.0731336152307698</v>
      </c>
      <c r="D17">
        <f>4.52570401692308*(0.3)</f>
        <v>1.3577112050769231</v>
      </c>
      <c r="E17">
        <f>4.52570401692308*(0.3)</f>
        <v>1.3577112050769231</v>
      </c>
      <c r="F17">
        <f>4.52570401692308*(0.3)</f>
        <v>1.3577112050769231</v>
      </c>
      <c r="G17">
        <f>2.71542241015385*(0.3)</f>
        <v>0.8146267230461538</v>
      </c>
      <c r="H17">
        <f>4.52570401692308*(0.3)</f>
        <v>1.3577112050769231</v>
      </c>
      <c r="I17">
        <f>4.52570401692308*(0.3)</f>
        <v>1.3577112050769231</v>
      </c>
      <c r="J17">
        <f>-0.905140803384615*(0.3)</f>
        <v>-0.27154224101538454</v>
      </c>
      <c r="K17">
        <f>4.52570401692308*(0.3)</f>
        <v>1.3577112050769231</v>
      </c>
      <c r="L17">
        <f>2.21759496829231*(0.3)</f>
        <v>0.66527849048769228</v>
      </c>
      <c r="M17">
        <f>4.97827441861539*(0.3)</f>
        <v>1.4934823255846157</v>
      </c>
      <c r="N17">
        <f>4.52570401692308*(0.3)</f>
        <v>1.3577112050769231</v>
      </c>
    </row>
    <row r="18" spans="1:14" x14ac:dyDescent="0.25">
      <c r="A18">
        <f>-64.59179149*(0.3)</f>
        <v>-19.377537447000002</v>
      </c>
      <c r="B18">
        <f>4.96859934538462*(0.3)</f>
        <v>1.4905798036153848</v>
      </c>
      <c r="C18">
        <f>14.9057980361538*(0.3)</f>
        <v>4.4717394108461548</v>
      </c>
      <c r="D18">
        <f>4.96859934538462*(0.3)</f>
        <v>1.4905798036153848</v>
      </c>
      <c r="E18">
        <f>4.96859934538462*(0.3)</f>
        <v>1.4905798036153848</v>
      </c>
      <c r="F18">
        <f>4.96859934538462*(0.3)</f>
        <v>1.4905798036153848</v>
      </c>
      <c r="G18">
        <f>2.98115960723077*(0.3)</f>
        <v>0.89434788216923089</v>
      </c>
      <c r="H18">
        <f>4.96859934538462*(0.3)</f>
        <v>1.4905798036153848</v>
      </c>
      <c r="I18">
        <f>4.96859934538462*(0.3)</f>
        <v>1.4905798036153848</v>
      </c>
      <c r="J18">
        <f>-0.993719869076923*(0.3)</f>
        <v>-0.29811596072307689</v>
      </c>
      <c r="K18">
        <f>4.96859934538462*(0.3)</f>
        <v>1.4905798036153848</v>
      </c>
      <c r="L18">
        <f>2.43461367923846*(0.3)</f>
        <v>0.73038410377153862</v>
      </c>
      <c r="M18">
        <f>5.46545927992308*(0.3)</f>
        <v>1.6396377839769236</v>
      </c>
      <c r="N18">
        <f>4.96859934538462*(0.3)</f>
        <v>1.4905798036153848</v>
      </c>
    </row>
    <row r="19" spans="1:14" x14ac:dyDescent="0.25">
      <c r="A19">
        <f>-98.59976448*(0.3)</f>
        <v>-29.579929344</v>
      </c>
      <c r="B19">
        <f>7.58459726769231*(0.3)</f>
        <v>2.2753791803076924</v>
      </c>
      <c r="C19">
        <f>22.7537918030769*(0.3)</f>
        <v>6.8261375409230762</v>
      </c>
      <c r="D19">
        <f>7.58459726769231*(0.3)</f>
        <v>2.2753791803076924</v>
      </c>
      <c r="E19">
        <f>7.58459726769231*(0.3)</f>
        <v>2.2753791803076924</v>
      </c>
      <c r="F19">
        <f>7.58459726769231*(0.3)</f>
        <v>2.2753791803076924</v>
      </c>
      <c r="G19">
        <f>4.55075836061538*(0.3)</f>
        <v>1.3652275081846155</v>
      </c>
      <c r="H19">
        <f>7.58459726769231*(0.3)</f>
        <v>2.2753791803076924</v>
      </c>
      <c r="I19">
        <f>7.58459726769231*(0.3)</f>
        <v>2.2753791803076924</v>
      </c>
      <c r="J19">
        <f>-1.51691945353846*(0.3)</f>
        <v>-0.45507583606153834</v>
      </c>
      <c r="K19">
        <f>7.58459726769231*(0.3)</f>
        <v>2.2753791803076924</v>
      </c>
      <c r="L19">
        <f>3.71645266116923*(0.3)</f>
        <v>1.1149357983507693</v>
      </c>
      <c r="M19">
        <f>8.34305699446154*(0.3)</f>
        <v>2.5029170983384619</v>
      </c>
      <c r="N19">
        <f>7.58459726769231*(0.3)</f>
        <v>2.2753791803076924</v>
      </c>
    </row>
    <row r="20" spans="1:14" x14ac:dyDescent="0.25">
      <c r="A20">
        <f>-81.13108163*(0.3)</f>
        <v>-24.339324488999999</v>
      </c>
      <c r="B20">
        <f>6.24085243307692*(0.3)</f>
        <v>1.8722557299230769</v>
      </c>
      <c r="C20">
        <f>18.7225572992308*(0.3)</f>
        <v>5.61676718976923</v>
      </c>
      <c r="D20">
        <f>6.24085243307692*(0.3)</f>
        <v>1.8722557299230769</v>
      </c>
      <c r="E20">
        <f>6.24085243307692*(0.3)</f>
        <v>1.8722557299230769</v>
      </c>
      <c r="F20">
        <f>6.24085243307692*(0.3)</f>
        <v>1.8722557299230769</v>
      </c>
      <c r="G20">
        <f>3.74451145984615*(0.3)</f>
        <v>1.1233534379538461</v>
      </c>
      <c r="H20">
        <f>6.24085243307692*(0.3)</f>
        <v>1.8722557299230769</v>
      </c>
      <c r="I20">
        <f>6.24085243307692*(0.3)</f>
        <v>1.8722557299230769</v>
      </c>
      <c r="J20">
        <f>-1.24817048661538*(0.3)</f>
        <v>-0.37445114598461532</v>
      </c>
      <c r="K20">
        <f>6.24085243307692*(0.3)</f>
        <v>1.8722557299230769</v>
      </c>
      <c r="L20">
        <f>3.05801769220769*(0.3)</f>
        <v>0.91740530766230755</v>
      </c>
      <c r="M20">
        <f>6.86493767638462*(0.3)</f>
        <v>2.0594813029153847</v>
      </c>
      <c r="N20">
        <f>6.24085243307692*(0.3)</f>
        <v>1.8722557299230769</v>
      </c>
    </row>
    <row r="21" spans="1:14" x14ac:dyDescent="0.25">
      <c r="A21">
        <f>-143.8942961*(0.3)</f>
        <v>-43.168288829999995</v>
      </c>
      <c r="B21">
        <f>11.0687920076923*(0.3)</f>
        <v>3.3206376023076922</v>
      </c>
      <c r="C21">
        <f>33.2063760230769*(0.3)</f>
        <v>9.9619128069230758</v>
      </c>
      <c r="D21">
        <f>11.0687920076923*(0.3)</f>
        <v>3.3206376023076922</v>
      </c>
      <c r="E21">
        <f>11.0687920076923*(0.3)</f>
        <v>3.3206376023076922</v>
      </c>
      <c r="F21">
        <f>11.0687920076923*(0.3)</f>
        <v>3.3206376023076922</v>
      </c>
      <c r="G21">
        <f>6.64127520461538*(0.3)</f>
        <v>1.9923825613846153</v>
      </c>
      <c r="H21">
        <f>11.0687920076923*(0.3)</f>
        <v>3.3206376023076922</v>
      </c>
      <c r="I21">
        <f>11.0687920076923*(0.3)</f>
        <v>3.3206376023076922</v>
      </c>
      <c r="J21">
        <f>-2.21375840153846*(0.3)</f>
        <v>-0.66412752046153833</v>
      </c>
      <c r="K21">
        <f>11.0687920076923*(0.3)</f>
        <v>3.3206376023076922</v>
      </c>
      <c r="L21">
        <f>5.42370808376923*(0.3)</f>
        <v>1.6271124251307689</v>
      </c>
      <c r="M21">
        <f>12.1756712084615*(0.3)</f>
        <v>3.6527013625384614</v>
      </c>
      <c r="N21">
        <f>11.0687920076923*(0.3)</f>
        <v>3.3206376023076922</v>
      </c>
    </row>
    <row r="22" spans="1:14" x14ac:dyDescent="0.25">
      <c r="A22">
        <f>-102.9443043*(0.3)</f>
        <v>-30.883291289999999</v>
      </c>
      <c r="B22">
        <f>7.91879263846154*(0.3)</f>
        <v>2.3756377915384617</v>
      </c>
      <c r="C22">
        <f>23.7563779153846*(0.3)</f>
        <v>7.1269133746153841</v>
      </c>
      <c r="D22">
        <f>7.91879263846154*(0.3)</f>
        <v>2.3756377915384617</v>
      </c>
      <c r="E22">
        <f>7.91879263846154*(0.3)</f>
        <v>2.3756377915384617</v>
      </c>
      <c r="F22">
        <f>7.91879263846154*(0.3)</f>
        <v>2.3756377915384617</v>
      </c>
      <c r="G22">
        <f>4.75127558307692*(0.3)</f>
        <v>1.4253826749230769</v>
      </c>
      <c r="H22">
        <f>7.91879263846154*(0.3)</f>
        <v>2.3756377915384617</v>
      </c>
      <c r="I22">
        <f>7.91879263846154*(0.3)</f>
        <v>2.3756377915384617</v>
      </c>
      <c r="J22">
        <f>-1.58375852769231*(0.3)</f>
        <v>-0.47512755830769221</v>
      </c>
      <c r="K22">
        <f>7.91879263846154*(0.3)</f>
        <v>2.3756377915384617</v>
      </c>
      <c r="L22">
        <f>3.88020839284615*(0.3)</f>
        <v>1.1640625178538462</v>
      </c>
      <c r="M22">
        <f>8.71067190230769*(0.3)</f>
        <v>2.6132015706923077</v>
      </c>
      <c r="N22">
        <f>7.91879263846154*(0.3)</f>
        <v>2.3756377915384617</v>
      </c>
    </row>
    <row r="23" spans="1:14" x14ac:dyDescent="0.25">
      <c r="A23">
        <f>-198.1660866*(0.3)</f>
        <v>-59.44982598</v>
      </c>
      <c r="B23">
        <f>15.2435451230769*(0.3)</f>
        <v>4.573063536923077</v>
      </c>
      <c r="C23">
        <f>45.7306353692308*(0.3)</f>
        <v>13.71919061076923</v>
      </c>
      <c r="D23">
        <f>15.2435451230769*(0.3)</f>
        <v>4.573063536923077</v>
      </c>
      <c r="E23">
        <f>15.2435451230769*(0.3)</f>
        <v>4.573063536923077</v>
      </c>
      <c r="F23">
        <f>15.2435451230769*(0.3)</f>
        <v>4.573063536923077</v>
      </c>
      <c r="G23">
        <f>9.14612707384615*(0.3)</f>
        <v>2.7438381221538459</v>
      </c>
      <c r="H23">
        <f>15.2435451230769*(0.3)</f>
        <v>4.573063536923077</v>
      </c>
      <c r="I23">
        <f>15.2435451230769*(0.3)</f>
        <v>4.573063536923077</v>
      </c>
      <c r="J23">
        <f>-3.04870902461538*(0.3)</f>
        <v>-0.9146127073846152</v>
      </c>
      <c r="K23">
        <f>15.2435451230769*(0.3)</f>
        <v>4.573063536923077</v>
      </c>
      <c r="L23">
        <f>7.46933711030769*(0.3)</f>
        <v>2.2408011330923077</v>
      </c>
      <c r="M23">
        <f>16.7678996353846*(0.3)</f>
        <v>5.0303698906153844</v>
      </c>
      <c r="N23">
        <f>15.2435451230769*(0.3)</f>
        <v>4.573063536923077</v>
      </c>
    </row>
    <row r="24" spans="1:14" x14ac:dyDescent="0.25">
      <c r="A24">
        <f>-123.8110058*(0.3)</f>
        <v>-37.143301739999998</v>
      </c>
      <c r="B24">
        <f>9.52392352307692*(0.3)</f>
        <v>2.857177056923077</v>
      </c>
      <c r="C24">
        <f>28.5717705692308*(0.3)</f>
        <v>8.5715311707692319</v>
      </c>
      <c r="D24">
        <f>9.52392352307692*(0.3)</f>
        <v>2.857177056923077</v>
      </c>
      <c r="E24">
        <f>9.52392352307692*(0.3)</f>
        <v>2.857177056923077</v>
      </c>
      <c r="F24">
        <f>9.52392352307692*(0.3)</f>
        <v>2.857177056923077</v>
      </c>
      <c r="G24">
        <f>5.71435411384615*(0.3)</f>
        <v>1.7143062341538462</v>
      </c>
      <c r="H24">
        <f>9.52392352307692*(0.3)</f>
        <v>2.857177056923077</v>
      </c>
      <c r="I24">
        <f>9.52392352307692*(0.3)</f>
        <v>2.857177056923077</v>
      </c>
      <c r="J24">
        <f>-1.90478470461538*(0.3)</f>
        <v>-0.57143541138461529</v>
      </c>
      <c r="K24">
        <f>9.52392352307692*(0.3)</f>
        <v>2.857177056923077</v>
      </c>
      <c r="L24">
        <f>4.66672252630769*(0.3)</f>
        <v>1.4000167578923077</v>
      </c>
      <c r="M24">
        <f>10.4763158753846*(0.3)</f>
        <v>3.1428947626153851</v>
      </c>
      <c r="N24">
        <f>9.52392352307692*(0.3)</f>
        <v>2.857177056923077</v>
      </c>
    </row>
    <row r="25" spans="1:14" x14ac:dyDescent="0.25">
      <c r="A25">
        <f>-272.6767931*(0.3)</f>
        <v>-81.803037930000002</v>
      </c>
      <c r="B25">
        <f>20.9751379307692*(0.3)</f>
        <v>6.2925413792307685</v>
      </c>
      <c r="C25">
        <f>62.9254137923077*(0.3)</f>
        <v>18.877624137692305</v>
      </c>
      <c r="D25">
        <f>20.9751379307692*(0.3)</f>
        <v>6.2925413792307685</v>
      </c>
      <c r="E25">
        <f>20.9751379307692*(0.3)</f>
        <v>6.2925413792307685</v>
      </c>
      <c r="F25">
        <f>20.9751379307692*(0.3)</f>
        <v>6.2925413792307685</v>
      </c>
      <c r="G25">
        <f>12.5850827584615*(0.3)</f>
        <v>3.7755248275384607</v>
      </c>
      <c r="H25">
        <f>20.9751379307692*(0.3)</f>
        <v>6.2925413792307685</v>
      </c>
      <c r="I25">
        <f>20.9751379307692*(0.3)</f>
        <v>6.2925413792307685</v>
      </c>
      <c r="J25">
        <f>-4.19502758615385*(0.3)</f>
        <v>-1.2585082758461534</v>
      </c>
      <c r="K25">
        <f>20.9751379307692*(0.3)</f>
        <v>6.2925413792307685</v>
      </c>
      <c r="L25">
        <f>10.2778175860769*(0.3)</f>
        <v>3.0833452758230768</v>
      </c>
      <c r="M25">
        <f>23.0726517238462*(0.3)</f>
        <v>6.9217955171538454</v>
      </c>
      <c r="N25">
        <f>20.9751379307692*(0.3)</f>
        <v>6.2925413792307685</v>
      </c>
    </row>
    <row r="26" spans="1:14" x14ac:dyDescent="0.25">
      <c r="A26">
        <f>-144.093947*(0.3)</f>
        <v>-43.2281841</v>
      </c>
      <c r="B26">
        <f>11.0841497692308*(0.3)</f>
        <v>3.3252449307692307</v>
      </c>
      <c r="C26">
        <f>33.2524493076923*(0.3)</f>
        <v>9.9757347923076924</v>
      </c>
      <c r="D26">
        <f>11.0841497692308*(0.3)</f>
        <v>3.3252449307692307</v>
      </c>
      <c r="E26">
        <f>11.0841497692308*(0.3)</f>
        <v>3.3252449307692307</v>
      </c>
      <c r="F26">
        <f>11.0841497692308*(0.3)</f>
        <v>3.3252449307692307</v>
      </c>
      <c r="G26">
        <f>6.65048986153846*(0.3)</f>
        <v>1.9951469584615382</v>
      </c>
      <c r="H26">
        <f>11.0841497692308*(0.3)</f>
        <v>3.3252449307692307</v>
      </c>
      <c r="I26">
        <f>11.0841497692308*(0.3)</f>
        <v>3.3252449307692307</v>
      </c>
      <c r="J26">
        <f>-2.21682995384615*(0.3)</f>
        <v>-0.665048986153846</v>
      </c>
      <c r="K26">
        <f>11.0841497692308*(0.3)</f>
        <v>3.3252449307692307</v>
      </c>
      <c r="L26">
        <f>5.43123338692308*(0.3)</f>
        <v>1.6293700160769231</v>
      </c>
      <c r="M26">
        <f>12.1925647461538*(0.3)</f>
        <v>3.6577694238461538</v>
      </c>
      <c r="N26">
        <f>11.0841497692308*(0.3)</f>
        <v>3.3252449307692307</v>
      </c>
    </row>
    <row r="27" spans="1:14" x14ac:dyDescent="0.25">
      <c r="A27">
        <f>-372.4554541*(0.3)</f>
        <v>-111.73663623</v>
      </c>
      <c r="B27">
        <f>28.6504195461538*(0.3)</f>
        <v>8.5951258638461532</v>
      </c>
      <c r="C27">
        <f>85.9512586384615*(0.3)</f>
        <v>25.78537759153846</v>
      </c>
      <c r="D27">
        <f>28.6504195461538*(0.3)</f>
        <v>8.5951258638461532</v>
      </c>
      <c r="E27">
        <f>28.6504195461538*(0.3)</f>
        <v>8.5951258638461532</v>
      </c>
      <c r="F27">
        <f>28.6504195461538*(0.3)</f>
        <v>8.5951258638461532</v>
      </c>
      <c r="G27">
        <f>17.1902517276923*(0.3)</f>
        <v>5.1570755183076917</v>
      </c>
      <c r="H27">
        <f>28.6504195461538*(0.3)</f>
        <v>8.5951258638461532</v>
      </c>
      <c r="I27">
        <f>28.6504195461538*(0.3)</f>
        <v>8.5951258638461532</v>
      </c>
      <c r="J27">
        <f>-5.73008390923077*(0.3)</f>
        <v>-1.7190251727692303</v>
      </c>
      <c r="K27">
        <f>28.6504195461538*(0.3)</f>
        <v>8.5951258638461532</v>
      </c>
      <c r="L27">
        <f>14.0387055776154*(0.3)</f>
        <v>4.2116116732846152</v>
      </c>
      <c r="M27">
        <f>31.5154615007692*(0.3)</f>
        <v>9.4546384502307692</v>
      </c>
      <c r="N27">
        <f>28.6504195461538*(0.3)</f>
        <v>8.5951258638461532</v>
      </c>
    </row>
    <row r="28" spans="1:14" x14ac:dyDescent="0.25">
      <c r="A28">
        <f>-167.1795737*(0.3)</f>
        <v>-50.153872109999995</v>
      </c>
      <c r="B28">
        <f>12.8599672076923*(0.3)</f>
        <v>3.8579901623076918</v>
      </c>
      <c r="C28">
        <f>38.5799016230769*(0.3)</f>
        <v>11.573970486923075</v>
      </c>
      <c r="D28">
        <f>12.8599672076923*(0.3)</f>
        <v>3.8579901623076918</v>
      </c>
      <c r="E28">
        <f>12.8599672076923*(0.3)</f>
        <v>3.8579901623076918</v>
      </c>
      <c r="F28">
        <f>12.8599672076923*(0.3)</f>
        <v>3.8579901623076918</v>
      </c>
      <c r="G28">
        <f>7.71598032461538*(0.3)</f>
        <v>2.3147940973846151</v>
      </c>
      <c r="H28">
        <f>12.8599672076923*(0.3)</f>
        <v>3.8579901623076918</v>
      </c>
      <c r="I28">
        <f>12.8599672076923*(0.3)</f>
        <v>3.8579901623076918</v>
      </c>
      <c r="J28">
        <f>-2.57199344153846*(0.3)</f>
        <v>-0.77159803246153824</v>
      </c>
      <c r="K28">
        <f>12.8599672076923*(0.3)</f>
        <v>3.8579901623076918</v>
      </c>
      <c r="L28">
        <f>6.30138393176923*(0.3)</f>
        <v>1.8904151795307689</v>
      </c>
      <c r="M28">
        <f>14.1459639284615*(0.3)</f>
        <v>4.2437891785384618</v>
      </c>
      <c r="N28">
        <f>12.8599672076923*(0.3)</f>
        <v>3.8579901623076918</v>
      </c>
    </row>
    <row r="29" spans="1:14" x14ac:dyDescent="0.25">
      <c r="A29">
        <f>-518.0248562*(0.3)</f>
        <v>-155.40745686</v>
      </c>
      <c r="B29">
        <f>39.8480658615385*(0.3)</f>
        <v>11.954419758461539</v>
      </c>
      <c r="C29">
        <f>119.544197584615*(0.3)</f>
        <v>35.863259275384621</v>
      </c>
      <c r="D29">
        <f>39.8480658615385*(0.3)</f>
        <v>11.954419758461539</v>
      </c>
      <c r="E29">
        <f>39.8480658615385*(0.3)</f>
        <v>11.954419758461539</v>
      </c>
      <c r="F29">
        <f>39.8480658615385*(0.3)</f>
        <v>11.954419758461539</v>
      </c>
      <c r="G29">
        <f>23.9088395169231*(0.3)</f>
        <v>7.1726518550769232</v>
      </c>
      <c r="H29">
        <f>39.8480658615385*(0.3)</f>
        <v>11.954419758461539</v>
      </c>
      <c r="I29">
        <f>39.8480658615385*(0.3)</f>
        <v>11.954419758461539</v>
      </c>
      <c r="J29">
        <f>-7.96961317230769*(0.3)</f>
        <v>-2.3908839516923073</v>
      </c>
      <c r="K29">
        <f>39.8480658615385*(0.3)</f>
        <v>11.954419758461539</v>
      </c>
      <c r="L29">
        <f>19.5255522721538*(0.3)</f>
        <v>5.8576656816461545</v>
      </c>
      <c r="M29">
        <f>43.8328724476923*(0.3)</f>
        <v>13.149861734307695</v>
      </c>
      <c r="N29">
        <f>39.8480658615385*(0.3)</f>
        <v>11.954419758461539</v>
      </c>
    </row>
    <row r="30" spans="1:14" x14ac:dyDescent="0.25">
      <c r="A30">
        <f>-186.450685*(0.3)</f>
        <v>-55.935205499999995</v>
      </c>
      <c r="B30">
        <f>14.3423603846154*(0.3)</f>
        <v>4.3027081153846147</v>
      </c>
      <c r="C30">
        <f>43.0270811538462*(0.3)</f>
        <v>12.908124346153846</v>
      </c>
      <c r="D30">
        <f>14.3423603846154*(0.3)</f>
        <v>4.3027081153846147</v>
      </c>
      <c r="E30">
        <f>14.3423603846154*(0.3)</f>
        <v>4.3027081153846147</v>
      </c>
      <c r="F30">
        <f>14.3423603846154*(0.3)</f>
        <v>4.3027081153846147</v>
      </c>
      <c r="G30">
        <f>8.60541623076923*(0.3)</f>
        <v>2.5816248692307688</v>
      </c>
      <c r="H30">
        <f>14.3423603846154*(0.3)</f>
        <v>4.3027081153846147</v>
      </c>
      <c r="I30">
        <f>14.3423603846154*(0.3)</f>
        <v>4.3027081153846147</v>
      </c>
      <c r="J30">
        <f>-2.86847207692308*(0.3)</f>
        <v>-0.86054162307692283</v>
      </c>
      <c r="K30">
        <f>14.3423603846154*(0.3)</f>
        <v>4.3027081153846147</v>
      </c>
      <c r="L30">
        <f>7.02775658846154*(0.3)</f>
        <v>2.1083269765384616</v>
      </c>
      <c r="M30">
        <f>15.7765964230769*(0.3)</f>
        <v>4.7329789269230771</v>
      </c>
      <c r="N30">
        <f>14.3423603846154*(0.3)</f>
        <v>4.3027081153846147</v>
      </c>
    </row>
    <row r="31" spans="1:14" x14ac:dyDescent="0.25">
      <c r="A31">
        <f>-727.4484651*(0.3)</f>
        <v>-218.23453953000001</v>
      </c>
      <c r="B31">
        <f>55.9575742384615*(0.3)</f>
        <v>16.787272271538463</v>
      </c>
      <c r="C31">
        <f>167.872722715385*(0.3)</f>
        <v>50.361816814615381</v>
      </c>
      <c r="D31">
        <f>55.9575742384615*(0.3)</f>
        <v>16.787272271538463</v>
      </c>
      <c r="E31">
        <f>55.9575742384615*(0.3)</f>
        <v>16.787272271538463</v>
      </c>
      <c r="F31">
        <f>55.9575742384615*(0.3)</f>
        <v>16.787272271538463</v>
      </c>
      <c r="G31">
        <f>33.5745445430769*(0.3)</f>
        <v>10.072363362923078</v>
      </c>
      <c r="H31">
        <f>55.9575742384615*(0.3)</f>
        <v>16.787272271538463</v>
      </c>
      <c r="I31">
        <f>55.9575742384615*(0.3)</f>
        <v>16.787272271538463</v>
      </c>
      <c r="J31">
        <f>-11.1915148476923*(0.3)</f>
        <v>-3.3574544543076916</v>
      </c>
      <c r="K31">
        <f>55.9575742384615*(0.3)</f>
        <v>16.787272271538463</v>
      </c>
      <c r="L31">
        <f>27.4192113768462*(0.3)</f>
        <v>8.225763413053846</v>
      </c>
      <c r="M31">
        <f>61.5533316623077*(0.3)</f>
        <v>18.465999498692309</v>
      </c>
      <c r="N31">
        <f>55.9575742384615*(0.3)</f>
        <v>16.787272271538463</v>
      </c>
    </row>
    <row r="32" spans="1:14" x14ac:dyDescent="0.25">
      <c r="A32">
        <f>-206.808928*(0.3)</f>
        <v>-62.0426784</v>
      </c>
      <c r="B32">
        <f>15.9083790769231*(0.3)</f>
        <v>4.7725137230769228</v>
      </c>
      <c r="C32">
        <f>47.7251372307692*(0.3)</f>
        <v>14.31754116923077</v>
      </c>
      <c r="D32">
        <f>15.9083790769231*(0.3)</f>
        <v>4.7725137230769228</v>
      </c>
      <c r="E32">
        <f>15.9083790769231*(0.3)</f>
        <v>4.7725137230769228</v>
      </c>
      <c r="F32">
        <f>15.9083790769231*(0.3)</f>
        <v>4.7725137230769228</v>
      </c>
      <c r="G32">
        <f>9.54502744615385*(0.3)</f>
        <v>2.8635082338461535</v>
      </c>
      <c r="H32">
        <f>15.9083790769231*(0.3)</f>
        <v>4.7725137230769228</v>
      </c>
      <c r="I32">
        <f>15.9083790769231*(0.3)</f>
        <v>4.7725137230769228</v>
      </c>
      <c r="J32">
        <f>-3.18167581538461*(0.3)</f>
        <v>-0.95450274461538442</v>
      </c>
      <c r="K32">
        <f>15.9083790769231*(0.3)</f>
        <v>4.7725137230769228</v>
      </c>
      <c r="L32">
        <f>7.79510574769231*(0.3)</f>
        <v>2.3385317243076922</v>
      </c>
      <c r="M32">
        <f>17.4992169846154*(0.3)</f>
        <v>5.2497650953846158</v>
      </c>
      <c r="N32">
        <f>15.9083790769231*(0.3)</f>
        <v>4.7725137230769228</v>
      </c>
    </row>
    <row r="33" spans="1:14" x14ac:dyDescent="0.25">
      <c r="A33">
        <f>-27.30322148*(0.3)</f>
        <v>-8.1909664440000007</v>
      </c>
      <c r="B33">
        <f>2.10024780615385*(0.3)</f>
        <v>0.63007434184615385</v>
      </c>
      <c r="C33">
        <f>6.30074341846154*(0.3)</f>
        <v>1.8902230255384616</v>
      </c>
      <c r="D33">
        <f>2.10024780615385*(0.3)</f>
        <v>0.63007434184615385</v>
      </c>
      <c r="E33">
        <f>2.10024780615385*(0.3)</f>
        <v>0.63007434184615385</v>
      </c>
      <c r="F33">
        <f>2.10024780615385*(0.3)</f>
        <v>0.63007434184615385</v>
      </c>
      <c r="G33">
        <f>1.26014868369231*(0.3)</f>
        <v>0.37804460510769228</v>
      </c>
      <c r="H33">
        <f>2.10024780615385*(0.3)</f>
        <v>0.63007434184615385</v>
      </c>
      <c r="I33">
        <f>2.10024780615385*(0.3)</f>
        <v>0.63007434184615385</v>
      </c>
      <c r="J33">
        <f>-0.420049561230769*(0.3)</f>
        <v>-0.12601486836923076</v>
      </c>
      <c r="K33">
        <f>2.10024780615385*(0.3)</f>
        <v>0.63007434184615385</v>
      </c>
      <c r="L33">
        <f>1.02912142501538*(0.3)</f>
        <v>0.30873642750461538</v>
      </c>
      <c r="M33">
        <f>2.31027258676923*(0.3)</f>
        <v>0.69308177603076937</v>
      </c>
      <c r="N33">
        <f>2.10024780615385*(0.3)</f>
        <v>0.63007434184615385</v>
      </c>
    </row>
    <row r="34" spans="1:14" x14ac:dyDescent="0.25">
      <c r="A34">
        <f>-116.8713944*(0.3)</f>
        <v>-35.061418320000001</v>
      </c>
      <c r="B34">
        <f>8.99010726153846*(0.3)</f>
        <v>2.6970321784615385</v>
      </c>
      <c r="C34">
        <f>26.9703217846154*(0.3)</f>
        <v>8.0910965353846152</v>
      </c>
      <c r="D34">
        <f>8.99010726153846*(0.3)</f>
        <v>2.6970321784615385</v>
      </c>
      <c r="E34">
        <f>8.99010726153846*(0.3)</f>
        <v>2.6970321784615385</v>
      </c>
      <c r="F34">
        <f>8.99010726153846*(0.3)</f>
        <v>2.6970321784615385</v>
      </c>
      <c r="G34">
        <f>5.39406435692308*(0.3)</f>
        <v>1.6182193070769231</v>
      </c>
      <c r="H34">
        <f>8.99010726153846*(0.3)</f>
        <v>2.6970321784615385</v>
      </c>
      <c r="I34">
        <f>8.99010726153846*(0.3)</f>
        <v>2.6970321784615385</v>
      </c>
      <c r="J34">
        <f>-1.79802145230769*(0.3)</f>
        <v>-0.53940643569230762</v>
      </c>
      <c r="K34">
        <f>8.99010726153846*(0.3)</f>
        <v>2.6970321784615385</v>
      </c>
      <c r="L34">
        <f>4.40515255815385*(0.3)</f>
        <v>1.3215457674461537</v>
      </c>
      <c r="M34">
        <f>9.88911798769231*(0.3)</f>
        <v>2.9667353963076928</v>
      </c>
      <c r="N34">
        <f>8.99010726153846*(0.3)</f>
        <v>2.6970321784615385</v>
      </c>
    </row>
    <row r="35" spans="1:14" x14ac:dyDescent="0.25">
      <c r="A35">
        <f>-42.01000829*(0.3)</f>
        <v>-12.603002486999999</v>
      </c>
      <c r="B35">
        <f>3.23153909923077*(0.3)</f>
        <v>0.96946172976923084</v>
      </c>
      <c r="C35">
        <f>9.69461729769231*(0.3)</f>
        <v>2.9083851893076926</v>
      </c>
      <c r="D35">
        <f>3.23153909923077*(0.3)</f>
        <v>0.96946172976923084</v>
      </c>
      <c r="E35">
        <f>3.23153909923077*(0.3)</f>
        <v>0.96946172976923084</v>
      </c>
      <c r="F35">
        <f>3.23153909923077*(0.3)</f>
        <v>0.96946172976923084</v>
      </c>
      <c r="G35">
        <f>1.93892345953846*(0.3)</f>
        <v>0.58167703786153846</v>
      </c>
      <c r="H35">
        <f>3.23153909923077*(0.3)</f>
        <v>0.96946172976923084</v>
      </c>
      <c r="I35">
        <f>3.23153909923077*(0.3)</f>
        <v>0.96946172976923084</v>
      </c>
      <c r="J35">
        <f>-0.646307819846154*(0.3)</f>
        <v>-0.19389234595384613</v>
      </c>
      <c r="K35">
        <f>3.23153909923077*(0.3)</f>
        <v>0.96946172976923084</v>
      </c>
      <c r="L35">
        <f>1.58345415862308*(0.3)</f>
        <v>0.47503624758692309</v>
      </c>
      <c r="M35">
        <f>3.55469300915385*(0.3)</f>
        <v>1.0664079027461539</v>
      </c>
      <c r="N35">
        <f>3.23153909923077*(0.3)</f>
        <v>0.96946172976923084</v>
      </c>
    </row>
    <row r="36" spans="1:14" x14ac:dyDescent="0.25">
      <c r="A36">
        <f>-153.8353246*(0.3)</f>
        <v>-46.150597380000001</v>
      </c>
      <c r="B36">
        <f>11.8334865076923*(0.3)</f>
        <v>3.5500459523076926</v>
      </c>
      <c r="C36">
        <f>35.5004595230769*(0.3)</f>
        <v>10.650137856923077</v>
      </c>
      <c r="D36">
        <f>11.8334865076923*(0.3)</f>
        <v>3.5500459523076926</v>
      </c>
      <c r="E36">
        <f>11.8334865076923*(0.3)</f>
        <v>3.5500459523076926</v>
      </c>
      <c r="F36">
        <f>11.8334865076923*(0.3)</f>
        <v>3.5500459523076926</v>
      </c>
      <c r="G36">
        <f>7.10009190461539*(0.3)</f>
        <v>2.1300275713846153</v>
      </c>
      <c r="H36">
        <f>11.8334865076923*(0.3)</f>
        <v>3.5500459523076926</v>
      </c>
      <c r="I36">
        <f>11.8334865076923*(0.3)</f>
        <v>3.5500459523076926</v>
      </c>
      <c r="J36">
        <f>-2.36669730153846*(0.3)</f>
        <v>-0.71000919046153832</v>
      </c>
      <c r="K36">
        <f>11.8334865076923*(0.3)</f>
        <v>3.5500459523076926</v>
      </c>
      <c r="L36">
        <f>5.79840838876923*(0.3)</f>
        <v>1.7395225166307693</v>
      </c>
      <c r="M36">
        <f>13.0168351584615*(0.3)</f>
        <v>3.9050505475384618</v>
      </c>
      <c r="N36">
        <f>11.8334865076923*(0.3)</f>
        <v>3.5500459523076926</v>
      </c>
    </row>
    <row r="37" spans="1:14" x14ac:dyDescent="0.25">
      <c r="A37">
        <f>-59.20205995*(0.3)</f>
        <v>-17.760617985</v>
      </c>
      <c r="B37">
        <f>4.55400461153846*(0.3)</f>
        <v>1.3662013834615385</v>
      </c>
      <c r="C37">
        <f>13.6620138346154*(0.3)</f>
        <v>4.0986041503846149</v>
      </c>
      <c r="D37">
        <f>4.55400461153846*(0.3)</f>
        <v>1.3662013834615385</v>
      </c>
      <c r="E37">
        <f>4.55400461153846*(0.3)</f>
        <v>1.3662013834615385</v>
      </c>
      <c r="F37">
        <f>4.55400461153846*(0.3)</f>
        <v>1.3662013834615385</v>
      </c>
      <c r="G37">
        <f>2.73240276692308*(0.3)</f>
        <v>0.81972083007692309</v>
      </c>
      <c r="H37">
        <f>4.55400461153846*(0.3)</f>
        <v>1.3662013834615385</v>
      </c>
      <c r="I37">
        <f>4.55400461153846*(0.3)</f>
        <v>1.3662013834615385</v>
      </c>
      <c r="J37">
        <f>-0.910800922307692*(0.3)</f>
        <v>-0.27324027669230766</v>
      </c>
      <c r="K37">
        <f>4.55400461153846*(0.3)</f>
        <v>1.3662013834615385</v>
      </c>
      <c r="L37">
        <f>2.23146225965385*(0.3)</f>
        <v>0.66943867789615374</v>
      </c>
      <c r="M37">
        <f>5.00940507269231*(0.3)</f>
        <v>1.5028215218076924</v>
      </c>
      <c r="N37">
        <f>4.55400461153846*(0.3)</f>
        <v>1.3662013834615385</v>
      </c>
    </row>
    <row r="38" spans="1:14" x14ac:dyDescent="0.25">
      <c r="A38">
        <f>-191.5468142*(0.3)</f>
        <v>-57.464044260000001</v>
      </c>
      <c r="B38">
        <f>14.7343703230769*(0.3)</f>
        <v>4.4203110969230766</v>
      </c>
      <c r="C38">
        <f>44.2031109692308*(0.3)</f>
        <v>13.260933290769231</v>
      </c>
      <c r="D38">
        <f>14.7343703230769*(0.3)</f>
        <v>4.4203110969230766</v>
      </c>
      <c r="E38">
        <f>14.7343703230769*(0.3)</f>
        <v>4.4203110969230766</v>
      </c>
      <c r="F38">
        <f>14.7343703230769*(0.3)</f>
        <v>4.4203110969230766</v>
      </c>
      <c r="G38">
        <f>8.84062219384615*(0.3)</f>
        <v>2.652186658153846</v>
      </c>
      <c r="H38">
        <f>14.7343703230769*(0.3)</f>
        <v>4.4203110969230766</v>
      </c>
      <c r="I38">
        <f>14.7343703230769*(0.3)</f>
        <v>4.4203110969230766</v>
      </c>
      <c r="J38">
        <f>-2.94687406461538*(0.3)</f>
        <v>-0.88406221938461516</v>
      </c>
      <c r="K38">
        <f>14.7343703230769*(0.3)</f>
        <v>4.4203110969230766</v>
      </c>
      <c r="L38">
        <f>7.21984145830769*(0.3)</f>
        <v>2.1659524374923076</v>
      </c>
      <c r="M38">
        <f>16.2078073553846*(0.3)</f>
        <v>4.8623422066153852</v>
      </c>
      <c r="N38">
        <f>14.7343703230769*(0.3)</f>
        <v>4.4203110969230766</v>
      </c>
    </row>
    <row r="39" spans="1:14" x14ac:dyDescent="0.25">
      <c r="A39">
        <f>-72.89643486*(0.3)</f>
        <v>-21.868930457999998</v>
      </c>
      <c r="B39">
        <f>5.60741806615385*(0.3)</f>
        <v>1.6822254198461537</v>
      </c>
      <c r="C39">
        <f>16.8222541984615*(0.3)</f>
        <v>5.0466762595384607</v>
      </c>
      <c r="D39">
        <f>5.60741806615385*(0.3)</f>
        <v>1.6822254198461537</v>
      </c>
      <c r="E39">
        <f>5.60741806615385*(0.3)</f>
        <v>1.6822254198461537</v>
      </c>
      <c r="F39">
        <f>5.60741806615385*(0.3)</f>
        <v>1.6822254198461537</v>
      </c>
      <c r="G39">
        <f>3.36445083969231*(0.3)</f>
        <v>1.0093352519076921</v>
      </c>
      <c r="H39">
        <f>5.60741806615385*(0.3)</f>
        <v>1.6822254198461537</v>
      </c>
      <c r="I39">
        <f>5.60741806615385*(0.3)</f>
        <v>1.6822254198461537</v>
      </c>
      <c r="J39">
        <f>-1.12148361323077*(0.3)</f>
        <v>-0.33644508396923062</v>
      </c>
      <c r="K39">
        <f>5.60741806615385*(0.3)</f>
        <v>1.6822254198461537</v>
      </c>
      <c r="L39">
        <f>2.74763485241538*(0.3)</f>
        <v>0.82429045572461535</v>
      </c>
      <c r="M39">
        <f>6.16815987276923*(0.3)</f>
        <v>1.8504479618307692</v>
      </c>
      <c r="N39">
        <f>5.60741806615385*(0.3)</f>
        <v>1.6822254198461537</v>
      </c>
    </row>
    <row r="40" spans="1:14" x14ac:dyDescent="0.25">
      <c r="A40">
        <f>-229.6090044*(0.3)</f>
        <v>-68.882701319999995</v>
      </c>
      <c r="B40">
        <f>17.6622311076923*(0.3)</f>
        <v>5.2986693323076919</v>
      </c>
      <c r="C40">
        <f>52.9866933230769*(0.3)</f>
        <v>15.896007996923075</v>
      </c>
      <c r="D40">
        <f>17.6622311076923*(0.3)</f>
        <v>5.2986693323076919</v>
      </c>
      <c r="E40">
        <f>17.6622311076923*(0.3)</f>
        <v>5.2986693323076919</v>
      </c>
      <c r="F40">
        <f>17.6622311076923*(0.3)</f>
        <v>5.2986693323076919</v>
      </c>
      <c r="G40">
        <f>10.5973386646154*(0.3)</f>
        <v>3.1792015993846152</v>
      </c>
      <c r="H40">
        <f>17.6622311076923*(0.3)</f>
        <v>5.2986693323076919</v>
      </c>
      <c r="I40">
        <f>17.6622311076923*(0.3)</f>
        <v>5.2986693323076919</v>
      </c>
      <c r="J40">
        <f>-3.53244622153846*(0.3)</f>
        <v>-1.0597338664615381</v>
      </c>
      <c r="K40">
        <f>17.6622311076923*(0.3)</f>
        <v>5.2986693323076919</v>
      </c>
      <c r="L40">
        <f>8.65449324276923*(0.3)</f>
        <v>2.596347972830769</v>
      </c>
      <c r="M40">
        <f>19.4284542184615*(0.3)</f>
        <v>5.8285362655384612</v>
      </c>
      <c r="N40">
        <f>17.6622311076923*(0.3)</f>
        <v>5.2986693323076919</v>
      </c>
    </row>
    <row r="41" spans="1:14" x14ac:dyDescent="0.25">
      <c r="A41">
        <f>-93.24284072*(0.3)</f>
        <v>-27.972852216</v>
      </c>
      <c r="B41">
        <f>7.17252620923077*(0.3)</f>
        <v>2.1517578627692306</v>
      </c>
      <c r="C41">
        <f>21.5175786276923*(0.3)</f>
        <v>6.4552735883076924</v>
      </c>
      <c r="D41">
        <f>7.17252620923077*(0.3)</f>
        <v>2.1517578627692306</v>
      </c>
      <c r="E41">
        <f>7.17252620923077*(0.3)</f>
        <v>2.1517578627692306</v>
      </c>
      <c r="F41">
        <f>7.17252620923077*(0.3)</f>
        <v>2.1517578627692306</v>
      </c>
      <c r="G41">
        <f>4.30351572553846*(0.3)</f>
        <v>1.2910547176615383</v>
      </c>
      <c r="H41">
        <f>7.17252620923077*(0.3)</f>
        <v>2.1517578627692306</v>
      </c>
      <c r="I41">
        <f>7.17252620923077*(0.3)</f>
        <v>2.1517578627692306</v>
      </c>
      <c r="J41">
        <f>-1.43450524184615*(0.3)</f>
        <v>-0.43035157255384604</v>
      </c>
      <c r="K41">
        <f>7.17252620923077*(0.3)</f>
        <v>2.1517578627692306</v>
      </c>
      <c r="L41">
        <f>3.51453784252308*(0.3)</f>
        <v>1.0543613527569231</v>
      </c>
      <c r="M41">
        <f>7.88977883015385*(0.3)</f>
        <v>2.3669336490461541</v>
      </c>
      <c r="N41">
        <f>7.17252620923077*(0.3)</f>
        <v>2.1517578627692306</v>
      </c>
    </row>
    <row r="42" spans="1:14" x14ac:dyDescent="0.25">
      <c r="A42">
        <f>-268.732717*(0.3)</f>
        <v>-80.619815099999997</v>
      </c>
      <c r="B42">
        <f>20.6717474615385*(0.3)</f>
        <v>6.2015242384615377</v>
      </c>
      <c r="C42">
        <f>62.0152423846154*(0.3)</f>
        <v>18.604572715384613</v>
      </c>
      <c r="D42">
        <f>20.6717474615385*(0.3)</f>
        <v>6.2015242384615377</v>
      </c>
      <c r="E42">
        <f>20.6717474615385*(0.3)</f>
        <v>6.2015242384615377</v>
      </c>
      <c r="F42">
        <f>20.6717474615385*(0.3)</f>
        <v>6.2015242384615377</v>
      </c>
      <c r="G42">
        <f>12.4030484769231*(0.3)</f>
        <v>3.7209145430769226</v>
      </c>
      <c r="H42">
        <f>20.6717474615385*(0.3)</f>
        <v>6.2015242384615377</v>
      </c>
      <c r="I42">
        <f>20.6717474615385*(0.3)</f>
        <v>6.2015242384615377</v>
      </c>
      <c r="J42">
        <f>-4.13434949230769*(0.3)</f>
        <v>-1.2403048476923073</v>
      </c>
      <c r="K42">
        <f>20.6717474615385*(0.3)</f>
        <v>6.2015242384615377</v>
      </c>
      <c r="L42">
        <f>10.1291562561538*(0.3)</f>
        <v>3.0387468768461532</v>
      </c>
      <c r="M42">
        <f>22.7389222076923*(0.3)</f>
        <v>6.8216766623076923</v>
      </c>
      <c r="N42">
        <f>20.6717474615385*(0.3)</f>
        <v>6.2015242384615377</v>
      </c>
    </row>
    <row r="43" spans="1:14" x14ac:dyDescent="0.25">
      <c r="A43">
        <f>-118.2231086*(0.3)</f>
        <v>-35.466932579999998</v>
      </c>
      <c r="B43">
        <f>9.09408527692308*(0.3)</f>
        <v>2.7282255830769233</v>
      </c>
      <c r="C43">
        <f>27.2822558307692*(0.3)</f>
        <v>8.1846767492307695</v>
      </c>
      <c r="D43">
        <f>9.09408527692308*(0.3)</f>
        <v>2.7282255830769233</v>
      </c>
      <c r="E43">
        <f>9.09408527692308*(0.3)</f>
        <v>2.7282255830769233</v>
      </c>
      <c r="F43">
        <f>9.09408527692308*(0.3)</f>
        <v>2.7282255830769233</v>
      </c>
      <c r="G43">
        <f>5.45645116615385*(0.3)</f>
        <v>1.6369353498461539</v>
      </c>
      <c r="H43">
        <f>9.09408527692308*(0.3)</f>
        <v>2.7282255830769233</v>
      </c>
      <c r="I43">
        <f>9.09408527692308*(0.3)</f>
        <v>2.7282255830769233</v>
      </c>
      <c r="J43">
        <f>-1.81881705538462*(0.3)</f>
        <v>-0.54564511661538451</v>
      </c>
      <c r="K43">
        <f>9.09408527692308*(0.3)</f>
        <v>2.7282255830769233</v>
      </c>
      <c r="L43">
        <f>4.45610178569231*(0.3)</f>
        <v>1.3368305357076924</v>
      </c>
      <c r="M43">
        <f>10.0034938046154*(0.3)</f>
        <v>3.001048141384616</v>
      </c>
      <c r="N43">
        <f>9.09408527692308*(0.3)</f>
        <v>2.7282255830769233</v>
      </c>
    </row>
    <row r="44" spans="1:14" x14ac:dyDescent="0.25">
      <c r="A44">
        <f>-307.796532*(0.3)</f>
        <v>-92.338959599999995</v>
      </c>
      <c r="B44">
        <f>23.6766563076923*(0.3)</f>
        <v>7.1029968923076927</v>
      </c>
      <c r="C44">
        <f>71.0299689230769*(0.3)</f>
        <v>21.308990676923077</v>
      </c>
      <c r="D44">
        <f>23.6766563076923*(0.3)</f>
        <v>7.1029968923076927</v>
      </c>
      <c r="E44">
        <f>23.6766563076923*(0.3)</f>
        <v>7.1029968923076927</v>
      </c>
      <c r="F44">
        <f>23.6766563076923*(0.3)</f>
        <v>7.1029968923076927</v>
      </c>
      <c r="G44">
        <f>14.2059937846154*(0.3)</f>
        <v>4.2617981353846153</v>
      </c>
      <c r="H44">
        <f>23.6766563076923*(0.3)</f>
        <v>7.1029968923076927</v>
      </c>
      <c r="I44">
        <f>23.6766563076923*(0.3)</f>
        <v>7.1029968923076927</v>
      </c>
      <c r="J44">
        <f>-4.73533126153846*(0.3)</f>
        <v>-1.4205993784615381</v>
      </c>
      <c r="K44">
        <f>23.6766563076923*(0.3)</f>
        <v>7.1029968923076927</v>
      </c>
      <c r="L44">
        <f>11.6015615907692*(0.3)</f>
        <v>3.4804684772307692</v>
      </c>
      <c r="M44">
        <f>26.0443219384615*(0.3)</f>
        <v>7.8132965815384612</v>
      </c>
      <c r="N44">
        <f>23.6766563076923*(0.3)</f>
        <v>7.1029968923076927</v>
      </c>
    </row>
    <row r="45" spans="1:14" x14ac:dyDescent="0.25">
      <c r="A45">
        <f>-140.704018*(0.3)</f>
        <v>-42.211205399999997</v>
      </c>
      <c r="B45">
        <f>10.823386*(0.3)</f>
        <v>3.2470157999999998</v>
      </c>
      <c r="C45">
        <f>32.470158*(0.3)</f>
        <v>9.7410473999999994</v>
      </c>
      <c r="D45">
        <f>10.823386*(0.3)</f>
        <v>3.2470157999999998</v>
      </c>
      <c r="E45">
        <f>10.823386*(0.3)</f>
        <v>3.2470157999999998</v>
      </c>
      <c r="F45">
        <f>10.823386*(0.3)</f>
        <v>3.2470157999999998</v>
      </c>
      <c r="G45">
        <f>6.4940316*(0.3)</f>
        <v>1.9482094799999998</v>
      </c>
      <c r="H45">
        <f>10.823386*(0.3)</f>
        <v>3.2470157999999998</v>
      </c>
      <c r="I45">
        <f>10.823386*(0.3)</f>
        <v>3.2470157999999998</v>
      </c>
      <c r="J45">
        <f>-2.1646772*(0.3)</f>
        <v>-0.64940315999999976</v>
      </c>
      <c r="K45">
        <f>10.823386*(0.3)</f>
        <v>3.2470157999999998</v>
      </c>
      <c r="L45">
        <f>5.30345914*(0.3)</f>
        <v>1.5910377419999997</v>
      </c>
      <c r="M45">
        <f>11.9057246*(0.3)</f>
        <v>3.5717173800000004</v>
      </c>
      <c r="N45">
        <f>10.823386*(0.3)</f>
        <v>3.2470157999999998</v>
      </c>
    </row>
    <row r="46" spans="1:14" x14ac:dyDescent="0.25">
      <c r="A46">
        <f>-344.2542781*(0.3)</f>
        <v>-103.27628343000001</v>
      </c>
      <c r="B46">
        <f>26.4810983153846*(0.3)</f>
        <v>7.9443294946153848</v>
      </c>
      <c r="C46">
        <f>79.4432949461539*(0.3)</f>
        <v>23.832988483846155</v>
      </c>
      <c r="D46">
        <f>26.4810983153846*(0.3)</f>
        <v>7.9443294946153848</v>
      </c>
      <c r="E46">
        <f>26.4810983153846*(0.3)</f>
        <v>7.9443294946153848</v>
      </c>
      <c r="F46">
        <f>26.4810983153846*(0.3)</f>
        <v>7.9443294946153848</v>
      </c>
      <c r="G46">
        <f>15.8886589892308*(0.3)</f>
        <v>4.7665976967692307</v>
      </c>
      <c r="H46">
        <f>26.4810983153846*(0.3)</f>
        <v>7.9443294946153848</v>
      </c>
      <c r="I46">
        <f>26.4810983153846*(0.3)</f>
        <v>7.9443294946153848</v>
      </c>
      <c r="J46">
        <f>-5.29621966307692*(0.3)</f>
        <v>-1.5888658989230766</v>
      </c>
      <c r="K46">
        <f>26.4810983153846*(0.3)</f>
        <v>7.9443294946153848</v>
      </c>
      <c r="L46">
        <f>12.9757381745385*(0.3)</f>
        <v>3.8927214523615383</v>
      </c>
      <c r="M46">
        <f>29.1292081469231*(0.3)</f>
        <v>8.738762444076924</v>
      </c>
      <c r="N46">
        <f>26.4810983153846*(0.3)</f>
        <v>7.9443294946153848</v>
      </c>
    </row>
    <row r="47" spans="1:14" x14ac:dyDescent="0.25">
      <c r="A47">
        <f>-167.0597418*(0.3)</f>
        <v>-50.117922540000002</v>
      </c>
      <c r="B47">
        <f>12.8507493692308*(0.3)</f>
        <v>3.8552248107692311</v>
      </c>
      <c r="C47">
        <f>38.5522481076923*(0.3)</f>
        <v>11.565674432307693</v>
      </c>
      <c r="D47">
        <f>12.8507493692308*(0.3)</f>
        <v>3.8552248107692311</v>
      </c>
      <c r="E47">
        <f>12.8507493692308*(0.3)</f>
        <v>3.8552248107692311</v>
      </c>
      <c r="F47">
        <f>12.8507493692308*(0.3)</f>
        <v>3.8552248107692311</v>
      </c>
      <c r="G47">
        <f>7.71044962153846*(0.3)</f>
        <v>2.3131348864615386</v>
      </c>
      <c r="H47">
        <f>12.8507493692308*(0.3)</f>
        <v>3.8552248107692311</v>
      </c>
      <c r="I47">
        <f>12.8507493692308*(0.3)</f>
        <v>3.8552248107692311</v>
      </c>
      <c r="J47">
        <f>-2.57014987384615*(0.3)</f>
        <v>-0.77104496215384599</v>
      </c>
      <c r="K47">
        <f>12.8507493692308*(0.3)</f>
        <v>3.8552248107692311</v>
      </c>
      <c r="L47">
        <f>6.29686719092308*(0.3)</f>
        <v>1.8890601572769232</v>
      </c>
      <c r="M47">
        <f>14.1358243061538*(0.3)</f>
        <v>4.2407472918461542</v>
      </c>
      <c r="N47">
        <f>12.8507493692308*(0.3)</f>
        <v>3.8552248107692311</v>
      </c>
    </row>
    <row r="48" spans="1:14" x14ac:dyDescent="0.25">
      <c r="A48">
        <f>-384.4392225*(0.3)</f>
        <v>-115.33176675</v>
      </c>
      <c r="B48">
        <f>29.5722478846154*(0.3)</f>
        <v>8.8716743653846155</v>
      </c>
      <c r="C48">
        <f>88.7167436538462*(0.3)</f>
        <v>26.615023096153845</v>
      </c>
      <c r="D48">
        <f>29.5722478846154*(0.3)</f>
        <v>8.8716743653846155</v>
      </c>
      <c r="E48">
        <f>29.5722478846154*(0.3)</f>
        <v>8.8716743653846155</v>
      </c>
      <c r="F48">
        <f>29.5722478846154*(0.3)</f>
        <v>8.8716743653846155</v>
      </c>
      <c r="G48">
        <f>17.7433487307692*(0.3)</f>
        <v>5.323004619230769</v>
      </c>
      <c r="H48">
        <f>29.5722478846154*(0.3)</f>
        <v>8.8716743653846155</v>
      </c>
      <c r="I48">
        <f>29.5722478846154*(0.3)</f>
        <v>8.8716743653846155</v>
      </c>
      <c r="J48">
        <f>-5.91444957692308*(0.3)</f>
        <v>-1.7743348730769226</v>
      </c>
      <c r="K48">
        <f>29.5722478846154*(0.3)</f>
        <v>8.8716743653846155</v>
      </c>
      <c r="L48">
        <f>14.4904014634615*(0.3)</f>
        <v>4.3471204390384619</v>
      </c>
      <c r="M48">
        <f>32.5294726730769*(0.3)</f>
        <v>9.7588418019230776</v>
      </c>
      <c r="N48">
        <f>29.5722478846154*(0.3)</f>
        <v>8.8716743653846155</v>
      </c>
    </row>
    <row r="49" spans="1:14" x14ac:dyDescent="0.25">
      <c r="A49">
        <f>-4.005698616*(0.3)</f>
        <v>-1.2017095847999999</v>
      </c>
      <c r="B49">
        <f>0.308130662769231*(0.3)</f>
        <v>9.2439198830769231E-2</v>
      </c>
      <c r="C49">
        <f>0.924391988307692*(0.3)</f>
        <v>0.27731759649230769</v>
      </c>
      <c r="D49">
        <f>0.308130662769231*(0.3)</f>
        <v>9.2439198830769231E-2</v>
      </c>
      <c r="E49">
        <f>0.308130662769231*(0.3)</f>
        <v>9.2439198830769231E-2</v>
      </c>
      <c r="F49">
        <f>0.308130662769231*(0.3)</f>
        <v>9.2439198830769231E-2</v>
      </c>
      <c r="G49">
        <f>0.184878397661538*(0.3)</f>
        <v>5.5463519298461536E-2</v>
      </c>
      <c r="H49">
        <f>0.308130662769231*(0.3)</f>
        <v>9.2439198830769231E-2</v>
      </c>
      <c r="I49">
        <f>0.308130662769231*(0.3)</f>
        <v>9.2439198830769231E-2</v>
      </c>
      <c r="J49">
        <f>-0.0616261325538461*(0.3)</f>
        <v>-1.8487839766153841E-2</v>
      </c>
      <c r="K49">
        <f>0.308130662769231*(0.3)</f>
        <v>9.2439198830769231E-2</v>
      </c>
      <c r="L49">
        <f>0.150984024756923*(0.3)</f>
        <v>4.5295207427076919E-2</v>
      </c>
      <c r="M49">
        <f>0.338943729046154*(0.3)</f>
        <v>0.10168311871384617</v>
      </c>
      <c r="N49">
        <f>0.308130662769231*(0.3)</f>
        <v>9.2439198830769231E-2</v>
      </c>
    </row>
    <row r="50" spans="1:14" x14ac:dyDescent="0.25">
      <c r="A50">
        <f>-122.4932878*(0.3)</f>
        <v>-36.747986339999997</v>
      </c>
      <c r="B50">
        <f>9.4225606*(0.3)</f>
        <v>2.8267681800000002</v>
      </c>
      <c r="C50">
        <f>28.2676818*(0.3)</f>
        <v>8.4803045400000006</v>
      </c>
      <c r="D50">
        <f>9.4225606*(0.3)</f>
        <v>2.8267681800000002</v>
      </c>
      <c r="E50">
        <f>9.4225606*(0.3)</f>
        <v>2.8267681800000002</v>
      </c>
      <c r="F50">
        <f>9.4225606*(0.3)</f>
        <v>2.8267681800000002</v>
      </c>
      <c r="G50">
        <f>5.65353636*(0.3)</f>
        <v>1.696060908</v>
      </c>
      <c r="H50">
        <f>9.4225606*(0.3)</f>
        <v>2.8267681800000002</v>
      </c>
      <c r="I50">
        <f>9.4225606*(0.3)</f>
        <v>2.8267681800000002</v>
      </c>
      <c r="J50">
        <f>-1.88451212*(0.3)</f>
        <v>-0.56535363599999988</v>
      </c>
      <c r="K50">
        <f>9.4225606*(0.3)</f>
        <v>2.8267681800000002</v>
      </c>
      <c r="L50">
        <f>4.617054694*(0.3)</f>
        <v>1.3851164082</v>
      </c>
      <c r="M50">
        <f>10.36481666*(0.3)</f>
        <v>3.1094449980000003</v>
      </c>
      <c r="N50">
        <f>9.4225606*(0.3)</f>
        <v>2.8267681800000002</v>
      </c>
    </row>
    <row r="51" spans="1:14" x14ac:dyDescent="0.25">
      <c r="A51">
        <f>-9.464777*(0.3)</f>
        <v>-2.8394330999999999</v>
      </c>
      <c r="B51">
        <f>0.728059769230769*(0.3)</f>
        <v>0.21841793076923074</v>
      </c>
      <c r="C51">
        <f>2.18417930769231*(0.3)</f>
        <v>0.65525379230769221</v>
      </c>
      <c r="D51">
        <f>0.728059769230769*(0.3)</f>
        <v>0.21841793076923074</v>
      </c>
      <c r="E51">
        <f>0.728059769230769*(0.3)</f>
        <v>0.21841793076923074</v>
      </c>
      <c r="F51">
        <f>0.728059769230769*(0.3)</f>
        <v>0.21841793076923074</v>
      </c>
      <c r="G51">
        <f>0.436835861538461*(0.3)</f>
        <v>0.13105075846153844</v>
      </c>
      <c r="H51">
        <f>0.728059769230769*(0.3)</f>
        <v>0.21841793076923074</v>
      </c>
      <c r="I51">
        <f>0.728059769230769*(0.3)</f>
        <v>0.21841793076923074</v>
      </c>
      <c r="J51">
        <f>-0.145611953846154*(0.3)</f>
        <v>-4.3683586153846141E-2</v>
      </c>
      <c r="K51">
        <f>0.728059769230769*(0.3)</f>
        <v>0.21841793076923074</v>
      </c>
      <c r="L51">
        <f>0.356749286923077*(0.3)</f>
        <v>0.10702478607692306</v>
      </c>
      <c r="M51">
        <f>0.800865746153846*(0.3)</f>
        <v>0.24025972384615385</v>
      </c>
      <c r="N51">
        <f>0.728059769230769*(0.3)</f>
        <v>0.21841793076923074</v>
      </c>
    </row>
    <row r="52" spans="1:14" x14ac:dyDescent="0.25">
      <c r="A52">
        <f>-163.9426624*(0.3)</f>
        <v>-49.182798719999994</v>
      </c>
      <c r="B52">
        <f>12.6109740307692*(0.3)</f>
        <v>3.7832922092307686</v>
      </c>
      <c r="C52">
        <f>37.8329220923077*(0.3)</f>
        <v>11.349876627692307</v>
      </c>
      <c r="D52">
        <f>12.6109740307692*(0.3)</f>
        <v>3.7832922092307686</v>
      </c>
      <c r="E52">
        <f>12.6109740307692*(0.3)</f>
        <v>3.7832922092307686</v>
      </c>
      <c r="F52">
        <f>12.6109740307692*(0.3)</f>
        <v>3.7832922092307686</v>
      </c>
      <c r="G52">
        <f>7.56658441846154*(0.3)</f>
        <v>2.2699753255384612</v>
      </c>
      <c r="H52">
        <f>12.6109740307692*(0.3)</f>
        <v>3.7832922092307686</v>
      </c>
      <c r="I52">
        <f>12.6109740307692*(0.3)</f>
        <v>3.7832922092307686</v>
      </c>
      <c r="J52">
        <f>-2.52219480615385*(0.3)</f>
        <v>-0.75665844184615361</v>
      </c>
      <c r="K52">
        <f>12.6109740307692*(0.3)</f>
        <v>3.7832922092307686</v>
      </c>
      <c r="L52">
        <f>6.17937727507692*(0.3)</f>
        <v>1.8538131825230768</v>
      </c>
      <c r="M52">
        <f>13.8720714338462*(0.3)</f>
        <v>4.1616214301538461</v>
      </c>
      <c r="N52">
        <f>12.6109740307692*(0.3)</f>
        <v>3.7832922092307686</v>
      </c>
    </row>
    <row r="53" spans="1:14" x14ac:dyDescent="0.25">
      <c r="A53">
        <f>-7.259670258*(0.3)</f>
        <v>-2.1779010774000001</v>
      </c>
      <c r="B53">
        <f>0.558436173692308*(0.3)</f>
        <v>0.16753085210769231</v>
      </c>
      <c r="C53">
        <f>1.67530852107692*(0.3)</f>
        <v>0.50259255632307698</v>
      </c>
      <c r="D53">
        <f>0.558436173692308*(0.3)</f>
        <v>0.16753085210769231</v>
      </c>
      <c r="E53">
        <f>0.558436173692308*(0.3)</f>
        <v>0.16753085210769231</v>
      </c>
      <c r="F53">
        <f>0.558436173692308*(0.3)</f>
        <v>0.16753085210769231</v>
      </c>
      <c r="G53">
        <f>0.335061704215385*(0.3)</f>
        <v>0.10051851126461538</v>
      </c>
      <c r="H53">
        <f>0.558436173692308*(0.3)</f>
        <v>0.16753085210769231</v>
      </c>
      <c r="I53">
        <f>0.558436173692308*(0.3)</f>
        <v>0.16753085210769231</v>
      </c>
      <c r="J53">
        <f>-0.111687234738462*(0.3)</f>
        <v>-3.3506170421538452E-2</v>
      </c>
      <c r="K53">
        <f>0.558436173692308*(0.3)</f>
        <v>0.16753085210769231</v>
      </c>
      <c r="L53">
        <f>0.273633725109231*(0.3)</f>
        <v>8.2090117532769236E-2</v>
      </c>
      <c r="M53">
        <f>0.614279791061539*(0.3)</f>
        <v>0.18428393731846154</v>
      </c>
      <c r="N53">
        <f>0.558436173692308*(0.3)</f>
        <v>0.16753085210769231</v>
      </c>
    </row>
    <row r="54" spans="1:14" x14ac:dyDescent="0.25">
      <c r="A54">
        <f>-204.2085587*(0.3)</f>
        <v>-61.262567609999998</v>
      </c>
      <c r="B54">
        <f>15.7083506692308*(0.3)</f>
        <v>4.7125052007692307</v>
      </c>
      <c r="C54">
        <f>47.1250520076923*(0.3)</f>
        <v>14.137515602307692</v>
      </c>
      <c r="D54">
        <f>15.7083506692308*(0.3)</f>
        <v>4.7125052007692307</v>
      </c>
      <c r="E54">
        <f>15.7083506692308*(0.3)</f>
        <v>4.7125052007692307</v>
      </c>
      <c r="F54">
        <f>15.7083506692308*(0.3)</f>
        <v>4.7125052007692307</v>
      </c>
      <c r="G54">
        <f>9.42501040153846*(0.3)</f>
        <v>2.8275031204615382</v>
      </c>
      <c r="H54">
        <f>15.7083506692308*(0.3)</f>
        <v>4.7125052007692307</v>
      </c>
      <c r="I54">
        <f>15.7083506692308*(0.3)</f>
        <v>4.7125052007692307</v>
      </c>
      <c r="J54">
        <f>-3.14167013384615*(0.3)</f>
        <v>-0.94250104015384595</v>
      </c>
      <c r="K54">
        <f>15.7083506692308*(0.3)</f>
        <v>4.7125052007692307</v>
      </c>
      <c r="L54">
        <f>7.69709182792308*(0.3)</f>
        <v>2.3091275483769231</v>
      </c>
      <c r="M54">
        <f>17.2791857361538*(0.3)</f>
        <v>5.1837557208461549</v>
      </c>
      <c r="N54">
        <f>15.7083506692308*(0.3)</f>
        <v>4.7125052007692307</v>
      </c>
    </row>
    <row r="55" spans="1:14" x14ac:dyDescent="0.25">
      <c r="A55">
        <f>-12.44606515*(0.3)</f>
        <v>-3.7338195450000002</v>
      </c>
      <c r="B55">
        <f>0.957389626923077*(0.3)</f>
        <v>0.28721688807692308</v>
      </c>
      <c r="C55">
        <f>2.87216888076923*(0.3)</f>
        <v>0.86165066423076919</v>
      </c>
      <c r="D55">
        <f>0.957389626923077*(0.3)</f>
        <v>0.28721688807692308</v>
      </c>
      <c r="E55">
        <f>0.957389626923077*(0.3)</f>
        <v>0.28721688807692308</v>
      </c>
      <c r="F55">
        <f>0.957389626923077*(0.3)</f>
        <v>0.28721688807692308</v>
      </c>
      <c r="G55">
        <f>0.574433776153846*(0.3)</f>
        <v>0.17233013284615384</v>
      </c>
      <c r="H55">
        <f>0.957389626923077*(0.3)</f>
        <v>0.28721688807692308</v>
      </c>
      <c r="I55">
        <f>0.957389626923077*(0.3)</f>
        <v>0.28721688807692308</v>
      </c>
      <c r="J55">
        <f>-0.191477925384615*(0.3)</f>
        <v>-5.7443377615384594E-2</v>
      </c>
      <c r="K55">
        <f>0.957389626923077*(0.3)</f>
        <v>0.28721688807692308</v>
      </c>
      <c r="L55">
        <f>0.469120917192308*(0.3)</f>
        <v>0.1407362751576923</v>
      </c>
      <c r="M55">
        <f>1.05312858961538*(0.3)</f>
        <v>0.31593857688461541</v>
      </c>
      <c r="N55">
        <f>0.957389626923077*(0.3)</f>
        <v>0.28721688807692308</v>
      </c>
    </row>
    <row r="56" spans="1:14" x14ac:dyDescent="0.25">
      <c r="A56">
        <f>-246.8559008*(0.3)</f>
        <v>-74.056770239999992</v>
      </c>
      <c r="B56">
        <f>18.9889154461538*(0.3)</f>
        <v>5.696674633846154</v>
      </c>
      <c r="C56">
        <f>56.9667463384615*(0.3)</f>
        <v>17.090023901538462</v>
      </c>
      <c r="D56">
        <f>18.9889154461538*(0.3)</f>
        <v>5.696674633846154</v>
      </c>
      <c r="E56">
        <f>18.9889154461538*(0.3)</f>
        <v>5.696674633846154</v>
      </c>
      <c r="F56">
        <f>18.9889154461538*(0.3)</f>
        <v>5.696674633846154</v>
      </c>
      <c r="G56">
        <f>11.3933492676923*(0.3)</f>
        <v>3.4180047803076925</v>
      </c>
      <c r="H56">
        <f>18.9889154461538*(0.3)</f>
        <v>5.696674633846154</v>
      </c>
      <c r="I56">
        <f>18.9889154461538*(0.3)</f>
        <v>5.696674633846154</v>
      </c>
      <c r="J56">
        <f>-3.79778308923077*(0.3)</f>
        <v>-1.1393349267692305</v>
      </c>
      <c r="K56">
        <f>18.9889154461538*(0.3)</f>
        <v>5.696674633846154</v>
      </c>
      <c r="L56">
        <f>9.30456856861539*(0.3)</f>
        <v>2.7913705705846157</v>
      </c>
      <c r="M56">
        <f>20.8878069907692*(0.3)</f>
        <v>6.2663420972307691</v>
      </c>
      <c r="N56">
        <f>18.9889154461538*(0.3)</f>
        <v>5.696674633846154</v>
      </c>
    </row>
    <row r="57" spans="1:14" x14ac:dyDescent="0.25">
      <c r="A57">
        <f>-13.22870786*(0.3)</f>
        <v>-3.9686123579999997</v>
      </c>
      <c r="B57">
        <f>1.01759291230769*(0.3)</f>
        <v>0.30527787369230769</v>
      </c>
      <c r="C57">
        <f>3.05277873692308*(0.3)</f>
        <v>0.91583362107692312</v>
      </c>
      <c r="D57">
        <f>1.01759291230769*(0.3)</f>
        <v>0.30527787369230769</v>
      </c>
      <c r="E57">
        <f>1.01759291230769*(0.3)</f>
        <v>0.30527787369230769</v>
      </c>
      <c r="F57">
        <f>1.01759291230769*(0.3)</f>
        <v>0.30527787369230769</v>
      </c>
      <c r="G57">
        <f>0.610555747384615*(0.3)</f>
        <v>0.1831667242153846</v>
      </c>
      <c r="H57">
        <f>1.01759291230769*(0.3)</f>
        <v>0.30527787369230769</v>
      </c>
      <c r="I57">
        <f>1.01759291230769*(0.3)</f>
        <v>0.30527787369230769</v>
      </c>
      <c r="J57">
        <f>-0.203518582461538*(0.3)</f>
        <v>-6.1055574738461522E-2</v>
      </c>
      <c r="K57">
        <f>1.01759291230769*(0.3)</f>
        <v>0.30527787369230769</v>
      </c>
      <c r="L57">
        <f>0.498620527030769*(0.3)</f>
        <v>0.14958615810923076</v>
      </c>
      <c r="M57">
        <f>1.11935220353846*(0.3)</f>
        <v>0.33580566106153853</v>
      </c>
      <c r="N57">
        <f>1.01759291230769*(0.3)</f>
        <v>0.30527787369230769</v>
      </c>
    </row>
    <row r="58" spans="1:14" x14ac:dyDescent="0.25">
      <c r="A58">
        <f>-286.9024375*(0.3)</f>
        <v>-86.070731250000009</v>
      </c>
      <c r="B58">
        <f>22.0694182692308*(0.3)</f>
        <v>6.6208254807692306</v>
      </c>
      <c r="C58">
        <f>66.2082548076923*(0.3)</f>
        <v>19.862476442307692</v>
      </c>
      <c r="D58">
        <f>22.0694182692308*(0.3)</f>
        <v>6.6208254807692306</v>
      </c>
      <c r="E58">
        <f>22.0694182692308*(0.3)</f>
        <v>6.6208254807692306</v>
      </c>
      <c r="F58">
        <f>22.0694182692308*(0.3)</f>
        <v>6.6208254807692306</v>
      </c>
      <c r="G58">
        <f>13.2416509615385*(0.3)</f>
        <v>3.9724952884615381</v>
      </c>
      <c r="H58">
        <f>22.0694182692308*(0.3)</f>
        <v>6.6208254807692306</v>
      </c>
      <c r="I58">
        <f>22.0694182692308*(0.3)</f>
        <v>6.6208254807692306</v>
      </c>
      <c r="J58">
        <f>-4.41388365384615*(0.3)</f>
        <v>-1.3241650961538458</v>
      </c>
      <c r="K58">
        <f>22.0694182692308*(0.3)</f>
        <v>6.6208254807692306</v>
      </c>
      <c r="L58">
        <f>10.8140149519231*(0.3)</f>
        <v>3.244204485576923</v>
      </c>
      <c r="M58">
        <f>24.2763600961538*(0.3)</f>
        <v>7.2829080288461538</v>
      </c>
      <c r="N58">
        <f>22.0694182692308*(0.3)</f>
        <v>6.6208254807692306</v>
      </c>
    </row>
    <row r="59" spans="1:14" x14ac:dyDescent="0.25">
      <c r="A59">
        <f>-13.54087057*(0.3)</f>
        <v>-4.0622611709999994</v>
      </c>
      <c r="B59">
        <f>1.04160542846154*(0.3)</f>
        <v>0.31248162853846151</v>
      </c>
      <c r="C59">
        <f>3.12481628538462*(0.3)</f>
        <v>0.93744488561538453</v>
      </c>
      <c r="D59">
        <f>1.04160542846154*(0.3)</f>
        <v>0.31248162853846151</v>
      </c>
      <c r="E59">
        <f>1.04160542846154*(0.3)</f>
        <v>0.31248162853846151</v>
      </c>
      <c r="F59">
        <f>1.04160542846154*(0.3)</f>
        <v>0.31248162853846151</v>
      </c>
      <c r="G59">
        <f>0.624963257076923*(0.3)</f>
        <v>0.18748897712307691</v>
      </c>
      <c r="H59">
        <f>1.04160542846154*(0.3)</f>
        <v>0.31248162853846151</v>
      </c>
      <c r="I59">
        <f>1.04160542846154*(0.3)</f>
        <v>0.31248162853846151</v>
      </c>
      <c r="J59">
        <f>-0.208321085692308*(0.3)</f>
        <v>-6.2496325707692285E-2</v>
      </c>
      <c r="K59">
        <f>1.04160542846154*(0.3)</f>
        <v>0.31248162853846151</v>
      </c>
      <c r="L59">
        <f>0.510386659946154*(0.3)</f>
        <v>0.15311599798384615</v>
      </c>
      <c r="M59">
        <f>1.14576597130769*(0.3)</f>
        <v>0.34372979139230764</v>
      </c>
      <c r="N59">
        <f>1.04160542846154*(0.3)</f>
        <v>0.31248162853846151</v>
      </c>
    </row>
    <row r="60" spans="1:14" x14ac:dyDescent="0.25">
      <c r="A60">
        <f>-329.3867499*(0.3)</f>
        <v>-98.816024969999987</v>
      </c>
      <c r="B60">
        <f>25.3374423*(0.3)</f>
        <v>7.6012326899999998</v>
      </c>
      <c r="C60">
        <f>76.0123269*(0.3)</f>
        <v>22.803698069999999</v>
      </c>
      <c r="D60">
        <f>25.3374423*(0.3)</f>
        <v>7.6012326899999998</v>
      </c>
      <c r="E60">
        <f>25.3374423*(0.3)</f>
        <v>7.6012326899999998</v>
      </c>
      <c r="F60">
        <f>25.3374423*(0.3)</f>
        <v>7.6012326899999998</v>
      </c>
      <c r="G60">
        <f>15.20246538*(0.3)</f>
        <v>4.5607396140000001</v>
      </c>
      <c r="H60">
        <f>25.3374423*(0.3)</f>
        <v>7.6012326899999998</v>
      </c>
      <c r="I60">
        <f>25.3374423*(0.3)</f>
        <v>7.6012326899999998</v>
      </c>
      <c r="J60">
        <f>-5.06748846*(0.3)</f>
        <v>-1.5202465379999996</v>
      </c>
      <c r="K60">
        <f>25.3374423*(0.3)</f>
        <v>7.6012326899999998</v>
      </c>
      <c r="L60">
        <f>12.415346727*(0.3)</f>
        <v>3.7246040180999995</v>
      </c>
      <c r="M60">
        <f>27.87118653*(0.3)</f>
        <v>8.3613559590000008</v>
      </c>
      <c r="N60">
        <f>25.3374423*(0.3)</f>
        <v>7.6012326899999998</v>
      </c>
    </row>
    <row r="61" spans="1:14" x14ac:dyDescent="0.25">
      <c r="A61">
        <f>-16.7187446*(0.3)</f>
        <v>-5.0156233800000001</v>
      </c>
      <c r="B61">
        <f>1.28605727692308*(0.3)</f>
        <v>0.38581718307692309</v>
      </c>
      <c r="C61">
        <f>3.85817183076923*(0.3)</f>
        <v>1.1574515492307691</v>
      </c>
      <c r="D61">
        <f>1.28605727692308*(0.3)</f>
        <v>0.38581718307692309</v>
      </c>
      <c r="E61">
        <f>1.28605727692308*(0.3)</f>
        <v>0.38581718307692309</v>
      </c>
      <c r="F61">
        <f>1.28605727692308*(0.3)</f>
        <v>0.38581718307692309</v>
      </c>
      <c r="G61">
        <f>0.771634366153846*(0.3)</f>
        <v>0.23149030984615385</v>
      </c>
      <c r="H61">
        <f>1.28605727692308*(0.3)</f>
        <v>0.38581718307692309</v>
      </c>
      <c r="I61">
        <f>1.28605727692308*(0.3)</f>
        <v>0.38581718307692309</v>
      </c>
      <c r="J61">
        <f>-0.257211455384615*(0.3)</f>
        <v>-7.7163436615384592E-2</v>
      </c>
      <c r="K61">
        <f>1.28605727692308*(0.3)</f>
        <v>0.38581718307692309</v>
      </c>
      <c r="L61">
        <f>0.630168065692308*(0.3)</f>
        <v>0.18905041970769229</v>
      </c>
      <c r="M61">
        <f>1.41466300461538*(0.3)</f>
        <v>0.42439890138461539</v>
      </c>
      <c r="N61">
        <f>1.28605727692308*(0.3)</f>
        <v>0.38581718307692309</v>
      </c>
    </row>
    <row r="62" spans="1:14" x14ac:dyDescent="0.25">
      <c r="A62">
        <f>-366.4707612*(0.3)</f>
        <v>-109.94122836000001</v>
      </c>
      <c r="B62">
        <f>28.1900585538462*(0.3)</f>
        <v>8.457017566153846</v>
      </c>
      <c r="C62">
        <f>84.5701756615385*(0.3)</f>
        <v>25.37105269846154</v>
      </c>
      <c r="D62">
        <f>28.1900585538462*(0.3)</f>
        <v>8.457017566153846</v>
      </c>
      <c r="E62">
        <f>28.1900585538462*(0.3)</f>
        <v>8.457017566153846</v>
      </c>
      <c r="F62">
        <f>28.1900585538462*(0.3)</f>
        <v>8.457017566153846</v>
      </c>
      <c r="G62">
        <f>16.9140351323077*(0.3)</f>
        <v>5.0742105396923076</v>
      </c>
      <c r="H62">
        <f>28.1900585538462*(0.3)</f>
        <v>8.457017566153846</v>
      </c>
      <c r="I62">
        <f>28.1900585538462*(0.3)</f>
        <v>8.457017566153846</v>
      </c>
      <c r="J62">
        <f>-5.63801171076923*(0.3)</f>
        <v>-1.691403513230769</v>
      </c>
      <c r="K62">
        <f>28.1900585538462*(0.3)</f>
        <v>8.457017566153846</v>
      </c>
      <c r="L62">
        <f>13.8131286913846*(0.3)</f>
        <v>4.143938607415385</v>
      </c>
      <c r="M62">
        <f>31.0090644092308*(0.3)</f>
        <v>9.3027193227692315</v>
      </c>
      <c r="N62">
        <f>28.1900585538462*(0.3)</f>
        <v>8.457017566153846</v>
      </c>
    </row>
    <row r="63" spans="1:14" x14ac:dyDescent="0.25">
      <c r="A63">
        <f>-19.23713653*(0.3)</f>
        <v>-5.7711409590000002</v>
      </c>
      <c r="B63">
        <f>1.47977973307692*(0.3)</f>
        <v>0.4439339199230769</v>
      </c>
      <c r="C63">
        <f>4.43933919923077*(0.3)</f>
        <v>1.3318017597692307</v>
      </c>
      <c r="D63">
        <f>1.47977973307692*(0.3)</f>
        <v>0.4439339199230769</v>
      </c>
      <c r="E63">
        <f>1.47977973307692*(0.3)</f>
        <v>0.4439339199230769</v>
      </c>
      <c r="F63">
        <f>1.47977973307692*(0.3)</f>
        <v>0.4439339199230769</v>
      </c>
      <c r="G63">
        <f>0.887867839846154*(0.3)</f>
        <v>0.26636035195384611</v>
      </c>
      <c r="H63">
        <f>1.47977973307692*(0.3)</f>
        <v>0.4439339199230769</v>
      </c>
      <c r="I63">
        <f>1.47977973307692*(0.3)</f>
        <v>0.4439339199230769</v>
      </c>
      <c r="J63">
        <f>-0.295955946615385*(0.3)</f>
        <v>-8.8786783984615356E-2</v>
      </c>
      <c r="K63">
        <f>1.47977973307692*(0.3)</f>
        <v>0.4439339199230769</v>
      </c>
      <c r="L63">
        <f>0.725092069207692*(0.3)</f>
        <v>0.21752762076230769</v>
      </c>
      <c r="M63">
        <f>1.62775770638462*(0.3)</f>
        <v>0.48832731191538464</v>
      </c>
      <c r="N63">
        <f>1.47977973307692*(0.3)</f>
        <v>0.4439339199230769</v>
      </c>
    </row>
    <row r="64" spans="1:14" x14ac:dyDescent="0.25">
      <c r="A64">
        <f>-407.03297*(0.3)</f>
        <v>-122.10989099999999</v>
      </c>
      <c r="B64">
        <f>31.3102284615385*(0.3)</f>
        <v>9.393068538461538</v>
      </c>
      <c r="C64">
        <f>93.9306853846154*(0.3)</f>
        <v>28.179205615384614</v>
      </c>
      <c r="D64">
        <f>31.3102284615385*(0.3)</f>
        <v>9.393068538461538</v>
      </c>
      <c r="E64">
        <f>31.3102284615385*(0.3)</f>
        <v>9.393068538461538</v>
      </c>
      <c r="F64">
        <f>31.3102284615385*(0.3)</f>
        <v>9.393068538461538</v>
      </c>
      <c r="G64">
        <f>18.7861370769231*(0.3)</f>
        <v>5.635841123076923</v>
      </c>
      <c r="H64">
        <f>31.3102284615385*(0.3)</f>
        <v>9.393068538461538</v>
      </c>
      <c r="I64">
        <f>31.3102284615385*(0.3)</f>
        <v>9.393068538461538</v>
      </c>
      <c r="J64">
        <f>-6.26204569230769*(0.3)</f>
        <v>-1.8786137076923071</v>
      </c>
      <c r="K64">
        <f>31.3102284615385*(0.3)</f>
        <v>9.393068538461538</v>
      </c>
      <c r="L64">
        <f>15.3420119461538*(0.3)</f>
        <v>4.6026035838461539</v>
      </c>
      <c r="M64">
        <f>34.4412513076923*(0.3)</f>
        <v>10.332375392307693</v>
      </c>
      <c r="N64">
        <f>31.3102284615385*(0.3)</f>
        <v>9.393068538461538</v>
      </c>
    </row>
    <row r="65" spans="1:14" x14ac:dyDescent="0.25">
      <c r="A65">
        <f>-6.193467775*(0.3)</f>
        <v>-1.8580403324999999</v>
      </c>
      <c r="B65">
        <f>0.476420598076923*(0.3)</f>
        <v>0.14292617942307692</v>
      </c>
      <c r="C65">
        <f>1.42926179423077*(0.3)</f>
        <v>0.42877853826923079</v>
      </c>
      <c r="D65">
        <f>0.476420598076923*(0.3)</f>
        <v>0.14292617942307692</v>
      </c>
      <c r="E65">
        <f>0.476420598076923*(0.3)</f>
        <v>0.14292617942307692</v>
      </c>
      <c r="F65">
        <f>0.476420598076923*(0.3)</f>
        <v>0.14292617942307692</v>
      </c>
      <c r="G65">
        <f>0.285852358846154*(0.3)</f>
        <v>8.5755707653846144E-2</v>
      </c>
      <c r="H65">
        <f>0.476420598076923*(0.3)</f>
        <v>0.14292617942307692</v>
      </c>
      <c r="I65">
        <f>0.476420598076923*(0.3)</f>
        <v>0.14292617942307692</v>
      </c>
      <c r="J65">
        <f>-0.0952841196153846*(0.3)</f>
        <v>-2.8585235884615381E-2</v>
      </c>
      <c r="K65">
        <f>0.476420598076923*(0.3)</f>
        <v>0.14292617942307692</v>
      </c>
      <c r="L65">
        <f>0.233446093057692*(0.3)</f>
        <v>7.0033827917307695E-2</v>
      </c>
      <c r="M65">
        <f>0.524062657884615*(0.3)</f>
        <v>0.15721879736538463</v>
      </c>
      <c r="N65">
        <f>0.476420598076923*(0.3)</f>
        <v>0.14292617942307692</v>
      </c>
    </row>
    <row r="66" spans="1:14" x14ac:dyDescent="0.25">
      <c r="A66">
        <f>1.522975392*(0.3)</f>
        <v>0.4568926176</v>
      </c>
      <c r="B66">
        <f>-0.117151953230769*(0.3)</f>
        <v>-3.5145585969230765E-2</v>
      </c>
      <c r="C66">
        <f>-0.351455859692308*(0.3)</f>
        <v>-0.1054367579076923</v>
      </c>
      <c r="D66">
        <f>-0.117151953230769*(0.3)</f>
        <v>-3.5145585969230765E-2</v>
      </c>
      <c r="E66">
        <f>-0.117151953230769*(0.3)</f>
        <v>-3.5145585969230765E-2</v>
      </c>
      <c r="F66">
        <f>-0.117151953230769*(0.3)</f>
        <v>-3.5145585969230765E-2</v>
      </c>
      <c r="G66">
        <f>-0.0702911719384615*(0.3)</f>
        <v>-2.1087351581538457E-2</v>
      </c>
      <c r="H66">
        <f>-0.117151953230769*(0.3)</f>
        <v>-3.5145585969230765E-2</v>
      </c>
      <c r="I66">
        <f>-0.117151953230769*(0.3)</f>
        <v>-3.5145585969230765E-2</v>
      </c>
      <c r="J66">
        <f>0.0234303906461538*(0.3)</f>
        <v>7.0291171938461523E-3</v>
      </c>
      <c r="K66">
        <f>-0.117151953230769*(0.3)</f>
        <v>-3.5145585969230765E-2</v>
      </c>
      <c r="L66">
        <f>-0.0574044570830769*(0.3)</f>
        <v>-1.7221337124923075E-2</v>
      </c>
      <c r="M66">
        <f>-0.128867148553846*(0.3)</f>
        <v>-3.8660144566153846E-2</v>
      </c>
      <c r="N66">
        <f>-0.117151953230769*(0.3)</f>
        <v>-3.5145585969230765E-2</v>
      </c>
    </row>
    <row r="67" spans="1:14" x14ac:dyDescent="0.25">
      <c r="A67">
        <f>-5.220904196*(0.3)</f>
        <v>-1.5662712588000001</v>
      </c>
      <c r="B67">
        <f>0.401608015076923*(0.3)</f>
        <v>0.12048240452307693</v>
      </c>
      <c r="C67">
        <f>1.20482404523077*(0.3)</f>
        <v>0.36144721356923076</v>
      </c>
      <c r="D67">
        <f>0.401608015076923*(0.3)</f>
        <v>0.12048240452307693</v>
      </c>
      <c r="E67">
        <f>0.401608015076923*(0.3)</f>
        <v>0.12048240452307693</v>
      </c>
      <c r="F67">
        <f>0.401608015076923*(0.3)</f>
        <v>0.12048240452307693</v>
      </c>
      <c r="G67">
        <f>0.240964809046154*(0.3)</f>
        <v>7.2289442713846158E-2</v>
      </c>
      <c r="H67">
        <f>0.401608015076923*(0.3)</f>
        <v>0.12048240452307693</v>
      </c>
      <c r="I67">
        <f>0.401608015076923*(0.3)</f>
        <v>0.12048240452307693</v>
      </c>
      <c r="J67">
        <f>-0.0803216030153846*(0.3)</f>
        <v>-2.4096480904615379E-2</v>
      </c>
      <c r="K67">
        <f>0.401608015076923*(0.3)</f>
        <v>0.12048240452307693</v>
      </c>
      <c r="L67">
        <f>0.196787927387692*(0.3)</f>
        <v>5.9036378216307694E-2</v>
      </c>
      <c r="M67">
        <f>0.441768816584615*(0.3)</f>
        <v>0.13253064497538464</v>
      </c>
      <c r="N67">
        <f>0.401608015076923*(0.3)</f>
        <v>0.12048240452307693</v>
      </c>
    </row>
    <row r="68" spans="1:14" x14ac:dyDescent="0.25">
      <c r="A68">
        <f>1.415712917*(0.3)</f>
        <v>0.42471387509999997</v>
      </c>
      <c r="B68">
        <f>-0.108900993615385*(0.3)</f>
        <v>-3.2670298084615385E-2</v>
      </c>
      <c r="C68">
        <f>-0.326702980846154*(0.3)</f>
        <v>-9.8010894253846154E-2</v>
      </c>
      <c r="D68">
        <f>-0.108900993615385*(0.3)</f>
        <v>-3.2670298084615385E-2</v>
      </c>
      <c r="E68">
        <f>-0.108900993615385*(0.3)</f>
        <v>-3.2670298084615385E-2</v>
      </c>
      <c r="F68">
        <f>-0.108900993615385*(0.3)</f>
        <v>-3.2670298084615385E-2</v>
      </c>
      <c r="G68">
        <f>-0.0653405961692308*(0.3)</f>
        <v>-1.9602178850769231E-2</v>
      </c>
      <c r="H68">
        <f>-0.108900993615385*(0.3)</f>
        <v>-3.2670298084615385E-2</v>
      </c>
      <c r="I68">
        <f>-0.108900993615385*(0.3)</f>
        <v>-3.2670298084615385E-2</v>
      </c>
      <c r="J68">
        <f>0.0217801987230769*(0.3)</f>
        <v>6.5340596169230752E-3</v>
      </c>
      <c r="K68">
        <f>-0.108900993615385*(0.3)</f>
        <v>-3.2670298084615385E-2</v>
      </c>
      <c r="L68">
        <f>-0.0533614868715385*(0.3)</f>
        <v>-1.600844606146154E-2</v>
      </c>
      <c r="M68">
        <f>-0.119791092976923*(0.3)</f>
        <v>-3.5937327893076923E-2</v>
      </c>
      <c r="N68">
        <f>-0.108900993615385*(0.3)</f>
        <v>-3.2670298084615385E-2</v>
      </c>
    </row>
    <row r="69" spans="1:14" x14ac:dyDescent="0.25">
      <c r="A69">
        <f>-12.69860197*(0.3)</f>
        <v>-3.809580591</v>
      </c>
      <c r="B69">
        <f>0.976815536153846*(0.3)</f>
        <v>0.29304466084615383</v>
      </c>
      <c r="C69">
        <f>2.93044660846154*(0.3)</f>
        <v>0.87913398253846164</v>
      </c>
      <c r="D69">
        <f>0.976815536153846*(0.3)</f>
        <v>0.29304466084615383</v>
      </c>
      <c r="E69">
        <f>0.976815536153846*(0.3)</f>
        <v>0.29304466084615383</v>
      </c>
      <c r="F69">
        <f>0.976815536153846*(0.3)</f>
        <v>0.29304466084615383</v>
      </c>
      <c r="G69">
        <f>0.586089321692308*(0.3)</f>
        <v>0.17582679650769228</v>
      </c>
      <c r="H69">
        <f>0.976815536153846*(0.3)</f>
        <v>0.29304466084615383</v>
      </c>
      <c r="I69">
        <f>0.976815536153846*(0.3)</f>
        <v>0.29304466084615383</v>
      </c>
      <c r="J69">
        <f>-0.195363107230769*(0.3)</f>
        <v>-5.8608932169230757E-2</v>
      </c>
      <c r="K69">
        <f>0.976815536153846*(0.3)</f>
        <v>0.29304466084615383</v>
      </c>
      <c r="L69">
        <f>0.478639612715385*(0.3)</f>
        <v>0.14359188381461538</v>
      </c>
      <c r="M69">
        <f>1.07449708976923*(0.3)</f>
        <v>0.32234912693076928</v>
      </c>
      <c r="N69">
        <f>0.976815536153846*(0.3)</f>
        <v>0.29304466084615383</v>
      </c>
    </row>
    <row r="70" spans="1:14" x14ac:dyDescent="0.25">
      <c r="A70">
        <f>1.282701152*(0.3)</f>
        <v>0.38481034559999999</v>
      </c>
      <c r="B70">
        <f>-0.0986693193846154*(0.3)</f>
        <v>-2.9600795815384613E-2</v>
      </c>
      <c r="C70">
        <f>-0.296007958153846*(0.3)</f>
        <v>-8.8802387446153846E-2</v>
      </c>
      <c r="D70">
        <f>-0.0986693193846154*(0.3)</f>
        <v>-2.9600795815384613E-2</v>
      </c>
      <c r="E70">
        <f>-0.0986693193846154*(0.3)</f>
        <v>-2.9600795815384613E-2</v>
      </c>
      <c r="F70">
        <f>-0.0986693193846154*(0.3)</f>
        <v>-2.9600795815384613E-2</v>
      </c>
      <c r="G70">
        <f>-0.0592015916307692*(0.3)</f>
        <v>-1.7760477489230767E-2</v>
      </c>
      <c r="H70">
        <f>-0.0986693193846154*(0.3)</f>
        <v>-2.9600795815384613E-2</v>
      </c>
      <c r="I70">
        <f>-0.0986693193846154*(0.3)</f>
        <v>-2.9600795815384613E-2</v>
      </c>
      <c r="J70">
        <f>0.0197338638769231*(0.3)</f>
        <v>5.9201591630769221E-3</v>
      </c>
      <c r="K70">
        <f>-0.0986693193846154*(0.3)</f>
        <v>-2.9600795815384613E-2</v>
      </c>
      <c r="L70">
        <f>-0.0483479664984615*(0.3)</f>
        <v>-1.4504389949538459E-2</v>
      </c>
      <c r="M70">
        <f>-0.108536251323077*(0.3)</f>
        <v>-3.2560875396923081E-2</v>
      </c>
      <c r="N70">
        <f>-0.0986693193846154*(0.3)</f>
        <v>-2.9600795815384613E-2</v>
      </c>
    </row>
    <row r="71" spans="1:14" x14ac:dyDescent="0.25">
      <c r="A71">
        <f>-13.10119062*(0.3)</f>
        <v>-3.9303571860000002</v>
      </c>
      <c r="B71">
        <f>1.00778389384615*(0.3)</f>
        <v>0.30233516815384615</v>
      </c>
      <c r="C71">
        <f>3.02335168153846*(0.3)</f>
        <v>0.90700550446153838</v>
      </c>
      <c r="D71">
        <f>1.00778389384615*(0.3)</f>
        <v>0.30233516815384615</v>
      </c>
      <c r="E71">
        <f>1.00778389384615*(0.3)</f>
        <v>0.30233516815384615</v>
      </c>
      <c r="F71">
        <f>1.00778389384615*(0.3)</f>
        <v>0.30233516815384615</v>
      </c>
      <c r="G71">
        <f>0.604670336307692*(0.3)</f>
        <v>0.18140110089230768</v>
      </c>
      <c r="H71">
        <f>1.00778389384615*(0.3)</f>
        <v>0.30233516815384615</v>
      </c>
      <c r="I71">
        <f>1.00778389384615*(0.3)</f>
        <v>0.30233516815384615</v>
      </c>
      <c r="J71">
        <f>-0.201556778769231*(0.3)</f>
        <v>-6.0467033630769218E-2</v>
      </c>
      <c r="K71">
        <f>1.00778389384615*(0.3)</f>
        <v>0.30233516815384615</v>
      </c>
      <c r="L71">
        <f>0.493814107984615*(0.3)</f>
        <v>0.1481442323953846</v>
      </c>
      <c r="M71">
        <f>1.10856228323077*(0.3)</f>
        <v>0.33256868496923081</v>
      </c>
      <c r="N71">
        <f>1.00778389384615*(0.3)</f>
        <v>0.30233516815384615</v>
      </c>
    </row>
    <row r="72" spans="1:14" x14ac:dyDescent="0.25">
      <c r="A72">
        <f>-0.660594955*(0.3)</f>
        <v>-0.1981784865</v>
      </c>
      <c r="B72">
        <f>0.0508149965384615*(0.3)</f>
        <v>1.5244498961538462E-2</v>
      </c>
      <c r="C72">
        <f>0.152444989615385*(0.3)</f>
        <v>4.5733496884615379E-2</v>
      </c>
      <c r="D72">
        <f>0.0508149965384615*(0.3)</f>
        <v>1.5244498961538462E-2</v>
      </c>
      <c r="E72">
        <f>0.0508149965384615*(0.3)</f>
        <v>1.5244498961538462E-2</v>
      </c>
      <c r="F72">
        <f>0.0508149965384615*(0.3)</f>
        <v>1.5244498961538462E-2</v>
      </c>
      <c r="G72">
        <f>0.0304889979230769*(0.3)</f>
        <v>9.1466993769230773E-3</v>
      </c>
      <c r="H72">
        <f>0.0508149965384615*(0.3)</f>
        <v>1.5244498961538462E-2</v>
      </c>
      <c r="I72">
        <f>0.0508149965384615*(0.3)</f>
        <v>1.5244498961538462E-2</v>
      </c>
      <c r="J72">
        <f>-0.0101629993076923*(0.3)</f>
        <v>-3.048899792307692E-3</v>
      </c>
      <c r="K72">
        <f>0.0508149965384615*(0.3)</f>
        <v>1.5244498961538462E-2</v>
      </c>
      <c r="L72">
        <f>0.0248993483038462*(0.3)</f>
        <v>7.4698044911538459E-3</v>
      </c>
      <c r="M72">
        <f>0.0558964961923077*(0.3)</f>
        <v>1.6768948857692308E-2</v>
      </c>
      <c r="N72">
        <f>0.0508149965384615*(0.3)</f>
        <v>1.5244498961538462E-2</v>
      </c>
    </row>
    <row r="73" spans="1:14" x14ac:dyDescent="0.25">
      <c r="A73">
        <f>-20.51492102*(0.3)</f>
        <v>-6.1544763059999994</v>
      </c>
      <c r="B73">
        <f>1.57807084769231*(0.3)</f>
        <v>0.47342125430769222</v>
      </c>
      <c r="C73">
        <f>4.73421254307692*(0.3)</f>
        <v>1.4202637629230768</v>
      </c>
      <c r="D73">
        <f>1.57807084769231*(0.3)</f>
        <v>0.47342125430769222</v>
      </c>
      <c r="E73">
        <f>1.57807084769231*(0.3)</f>
        <v>0.47342125430769222</v>
      </c>
      <c r="F73">
        <f>1.57807084769231*(0.3)</f>
        <v>0.47342125430769222</v>
      </c>
      <c r="G73">
        <f>0.946842508615384*(0.3)</f>
        <v>0.28405275258461532</v>
      </c>
      <c r="H73">
        <f>1.57807084769231*(0.3)</f>
        <v>0.47342125430769222</v>
      </c>
      <c r="I73">
        <f>1.57807084769231*(0.3)</f>
        <v>0.47342125430769222</v>
      </c>
      <c r="J73">
        <f>-0.315614169538461*(0.3)</f>
        <v>-9.4684250861538435E-2</v>
      </c>
      <c r="K73">
        <f>1.57807084769231*(0.3)</f>
        <v>0.47342125430769222</v>
      </c>
      <c r="L73">
        <f>0.773254715369231*(0.3)</f>
        <v>0.23197641461076918</v>
      </c>
      <c r="M73">
        <f>1.73587793246154*(0.3)</f>
        <v>0.52076337973846154</v>
      </c>
      <c r="N73">
        <f>1.57807084769231*(0.3)</f>
        <v>0.47342125430769222</v>
      </c>
    </row>
    <row r="74" spans="1:14" x14ac:dyDescent="0.25">
      <c r="A74">
        <f>-1.371438937*(0.3)</f>
        <v>-0.4114316811</v>
      </c>
      <c r="B74">
        <f>0.105495302846154*(0.3)</f>
        <v>3.1648590853846151E-2</v>
      </c>
      <c r="C74">
        <f>0.316485908538462*(0.3)</f>
        <v>9.4945772561538452E-2</v>
      </c>
      <c r="D74">
        <f>0.105495302846154*(0.3)</f>
        <v>3.1648590853846151E-2</v>
      </c>
      <c r="E74">
        <f>0.105495302846154*(0.3)</f>
        <v>3.1648590853846151E-2</v>
      </c>
      <c r="F74">
        <f>0.105495302846154*(0.3)</f>
        <v>3.1648590853846151E-2</v>
      </c>
      <c r="G74">
        <f>0.0632971817076923*(0.3)</f>
        <v>1.898915451230769E-2</v>
      </c>
      <c r="H74">
        <f>0.105495302846154*(0.3)</f>
        <v>3.1648590853846151E-2</v>
      </c>
      <c r="I74">
        <f>0.105495302846154*(0.3)</f>
        <v>3.1648590853846151E-2</v>
      </c>
      <c r="J74">
        <f>-0.0210990605692308*(0.3)</f>
        <v>-6.3297181707692284E-3</v>
      </c>
      <c r="K74">
        <f>0.105495302846154*(0.3)</f>
        <v>3.1648590853846151E-2</v>
      </c>
      <c r="L74">
        <f>0.0516926983946154*(0.3)</f>
        <v>1.5507809518384614E-2</v>
      </c>
      <c r="M74">
        <f>0.116044833130769*(0.3)</f>
        <v>3.4813449939230766E-2</v>
      </c>
      <c r="N74">
        <f>0.105495302846154*(0.3)</f>
        <v>3.1648590853846151E-2</v>
      </c>
    </row>
    <row r="75" spans="1:14" x14ac:dyDescent="0.25">
      <c r="A75">
        <f>-18.81535838*(0.3)</f>
        <v>-5.6446075139999996</v>
      </c>
      <c r="B75">
        <f>1.44733526*(0.3)</f>
        <v>0.434200578</v>
      </c>
      <c r="C75">
        <f>4.34200578*(0.3)</f>
        <v>1.302601734</v>
      </c>
      <c r="D75">
        <f>1.44733526*(0.3)</f>
        <v>0.434200578</v>
      </c>
      <c r="E75">
        <f>1.44733526*(0.3)</f>
        <v>0.434200578</v>
      </c>
      <c r="F75">
        <f>1.44733526*(0.3)</f>
        <v>0.434200578</v>
      </c>
      <c r="G75">
        <f>0.868401156*(0.3)</f>
        <v>0.26052034679999997</v>
      </c>
      <c r="H75">
        <f>1.44733526*(0.3)</f>
        <v>0.434200578</v>
      </c>
      <c r="I75">
        <f>1.44733526*(0.3)</f>
        <v>0.434200578</v>
      </c>
      <c r="J75">
        <f>-0.289467052*(0.3)</f>
        <v>-8.6840115599999976E-2</v>
      </c>
      <c r="K75">
        <f>1.44733526*(0.3)</f>
        <v>0.434200578</v>
      </c>
      <c r="L75">
        <f>0.7091942774*(0.3)</f>
        <v>0.21275828321999998</v>
      </c>
      <c r="M75">
        <f>1.592068786*(0.3)</f>
        <v>0.47762063580000003</v>
      </c>
      <c r="N75">
        <f>1.44733526*(0.3)</f>
        <v>0.434200578</v>
      </c>
    </row>
    <row r="76" spans="1:14" x14ac:dyDescent="0.25">
      <c r="A76">
        <f>-0.010671593*(0.3)</f>
        <v>-3.2014778999999998E-3</v>
      </c>
      <c r="B76">
        <f>0.000820891769230769*(0.3)</f>
        <v>2.4626753076923075E-4</v>
      </c>
      <c r="C76">
        <f>0.00246267530769231*(0.3)</f>
        <v>7.3880259230769236E-4</v>
      </c>
      <c r="D76">
        <f>0.000820891769230769*(0.3)</f>
        <v>2.4626753076923075E-4</v>
      </c>
      <c r="E76">
        <f>0.000820891769230769*(0.3)</f>
        <v>2.4626753076923075E-4</v>
      </c>
      <c r="F76">
        <f>0.000820891769230769*(0.3)</f>
        <v>2.4626753076923075E-4</v>
      </c>
      <c r="G76">
        <f>0.000492535061538462*(0.3)</f>
        <v>1.4776051846153844E-4</v>
      </c>
      <c r="H76">
        <f>0.000820891769230769*(0.3)</f>
        <v>2.4626753076923075E-4</v>
      </c>
      <c r="I76">
        <f>0.000820891769230769*(0.3)</f>
        <v>2.4626753076923075E-4</v>
      </c>
      <c r="J76">
        <f>-0.000164178353846154*(0.3)</f>
        <v>-4.9253506153846142E-5</v>
      </c>
      <c r="K76">
        <f>0.000820891769230769*(0.3)</f>
        <v>2.4626753076923075E-4</v>
      </c>
      <c r="L76">
        <f>0.000402236966923077*(0.3)</f>
        <v>1.2067109007692306E-4</v>
      </c>
      <c r="M76">
        <f>0.000902980946153846*(0.3)</f>
        <v>2.7089428384615387E-4</v>
      </c>
      <c r="N76">
        <f>0.000820891769230769*(0.3)</f>
        <v>2.4626753076923075E-4</v>
      </c>
    </row>
    <row r="77" spans="1:14" x14ac:dyDescent="0.25">
      <c r="A77">
        <f>-22.67537011*(0.3)</f>
        <v>-6.8026110329999998</v>
      </c>
      <c r="B77">
        <f>1.74425923923077*(0.3)</f>
        <v>0.52327777176923074</v>
      </c>
      <c r="C77">
        <f>5.23277771769231*(0.3)</f>
        <v>1.5698333153076922</v>
      </c>
      <c r="D77">
        <f>1.74425923923077*(0.3)</f>
        <v>0.52327777176923074</v>
      </c>
      <c r="E77">
        <f>1.74425923923077*(0.3)</f>
        <v>0.52327777176923074</v>
      </c>
      <c r="F77">
        <f>1.74425923923077*(0.3)</f>
        <v>0.52327777176923074</v>
      </c>
      <c r="G77">
        <f>1.04655554353846*(0.3)</f>
        <v>0.31396666306153842</v>
      </c>
      <c r="H77">
        <f>1.74425923923077*(0.3)</f>
        <v>0.52327777176923074</v>
      </c>
      <c r="I77">
        <f>1.74425923923077*(0.3)</f>
        <v>0.52327777176923074</v>
      </c>
      <c r="J77">
        <f>-0.348851847846154*(0.3)</f>
        <v>-0.10465555435384612</v>
      </c>
      <c r="K77">
        <f>1.74425923923077*(0.3)</f>
        <v>0.52327777176923074</v>
      </c>
      <c r="L77">
        <f>0.854687027223077*(0.3)</f>
        <v>0.25640610816692305</v>
      </c>
      <c r="M77">
        <f>1.91868516315385*(0.3)</f>
        <v>0.57560554894615379</v>
      </c>
      <c r="N77">
        <f>1.74425923923077*(0.3)</f>
        <v>0.52327777176923074</v>
      </c>
    </row>
    <row r="78" spans="1:14" x14ac:dyDescent="0.25">
      <c r="A78">
        <f>-0.745119478*(0.3)</f>
        <v>-0.22353584339999999</v>
      </c>
      <c r="B78">
        <f>0.0573168829230769*(0.3)</f>
        <v>1.7195064876923075E-2</v>
      </c>
      <c r="C78">
        <f>0.171950648769231*(0.3)</f>
        <v>5.1585194630769229E-2</v>
      </c>
      <c r="D78">
        <f>0.0573168829230769*(0.3)</f>
        <v>1.7195064876923075E-2</v>
      </c>
      <c r="E78">
        <f>0.0573168829230769*(0.3)</f>
        <v>1.7195064876923075E-2</v>
      </c>
      <c r="F78">
        <f>0.0573168829230769*(0.3)</f>
        <v>1.7195064876923075E-2</v>
      </c>
      <c r="G78">
        <f>0.0343901297538462*(0.3)</f>
        <v>1.0317038926153845E-2</v>
      </c>
      <c r="H78">
        <f>0.0573168829230769*(0.3)</f>
        <v>1.7195064876923075E-2</v>
      </c>
      <c r="I78">
        <f>0.0573168829230769*(0.3)</f>
        <v>1.7195064876923075E-2</v>
      </c>
      <c r="J78">
        <f>-0.0114633765846154*(0.3)</f>
        <v>-3.4390129753846142E-3</v>
      </c>
      <c r="K78">
        <f>0.0573168829230769*(0.3)</f>
        <v>1.7195064876923075E-2</v>
      </c>
      <c r="L78">
        <f>0.0280852726323077*(0.3)</f>
        <v>8.425581789692306E-3</v>
      </c>
      <c r="M78">
        <f>0.0630485712153846*(0.3)</f>
        <v>1.8914571364615381E-2</v>
      </c>
      <c r="N78">
        <f>0.0573168829230769*(0.3)</f>
        <v>1.7195064876923075E-2</v>
      </c>
    </row>
    <row r="79" spans="1:14" x14ac:dyDescent="0.25">
      <c r="A79">
        <f>-27.44348374*(0.3)</f>
        <v>-8.233045122</v>
      </c>
      <c r="B79">
        <f>2.11103721076923*(0.3)</f>
        <v>0.6333111632307693</v>
      </c>
      <c r="C79">
        <f>6.33311163230769*(0.3)</f>
        <v>1.8999334896923079</v>
      </c>
      <c r="D79">
        <f>2.11103721076923*(0.3)</f>
        <v>0.6333111632307693</v>
      </c>
      <c r="E79">
        <f>2.11103721076923*(0.3)</f>
        <v>0.6333111632307693</v>
      </c>
      <c r="F79">
        <f>2.11103721076923*(0.3)</f>
        <v>0.6333111632307693</v>
      </c>
      <c r="G79">
        <f>1.26662232646154*(0.3)</f>
        <v>0.37998669793846157</v>
      </c>
      <c r="H79">
        <f>2.11103721076923*(0.3)</f>
        <v>0.6333111632307693</v>
      </c>
      <c r="I79">
        <f>2.11103721076923*(0.3)</f>
        <v>0.6333111632307693</v>
      </c>
      <c r="J79">
        <f>-0.422207442153846*(0.3)</f>
        <v>-0.12666223264615381</v>
      </c>
      <c r="K79">
        <f>2.11103721076923*(0.3)</f>
        <v>0.6333111632307693</v>
      </c>
      <c r="L79">
        <f>1.03440823327692*(0.3)</f>
        <v>0.31032246998307694</v>
      </c>
      <c r="M79">
        <f>2.32214093184615*(0.3)</f>
        <v>0.69664227955384617</v>
      </c>
      <c r="N79">
        <f>2.11103721076923*(0.3)</f>
        <v>0.6333111632307693</v>
      </c>
    </row>
    <row r="80" spans="1:14" x14ac:dyDescent="0.25">
      <c r="A80">
        <f>-1.640609617*(0.3)</f>
        <v>-0.49218288509999997</v>
      </c>
      <c r="B80">
        <f>0.126200739769231*(0.3)</f>
        <v>3.7860221930769232E-2</v>
      </c>
      <c r="C80">
        <f>0.378602219307692*(0.3)</f>
        <v>0.11358066579230769</v>
      </c>
      <c r="D80">
        <f>0.126200739769231*(0.3)</f>
        <v>3.7860221930769232E-2</v>
      </c>
      <c r="E80">
        <f>0.126200739769231*(0.3)</f>
        <v>3.7860221930769232E-2</v>
      </c>
      <c r="F80">
        <f>0.126200739769231*(0.3)</f>
        <v>3.7860221930769232E-2</v>
      </c>
      <c r="G80">
        <f>0.0757204438615385*(0.3)</f>
        <v>2.2716133158461538E-2</v>
      </c>
      <c r="H80">
        <f>0.126200739769231*(0.3)</f>
        <v>3.7860221930769232E-2</v>
      </c>
      <c r="I80">
        <f>0.126200739769231*(0.3)</f>
        <v>3.7860221930769232E-2</v>
      </c>
      <c r="J80">
        <f>-0.0252401479538461*(0.3)</f>
        <v>-7.5720443861538441E-3</v>
      </c>
      <c r="K80">
        <f>0.126200739769231*(0.3)</f>
        <v>3.7860221930769232E-2</v>
      </c>
      <c r="L80">
        <f>0.0618383624869231*(0.3)</f>
        <v>1.855150874607692E-2</v>
      </c>
      <c r="M80">
        <f>0.138820813746154*(0.3)</f>
        <v>4.1646244123846154E-2</v>
      </c>
      <c r="N80">
        <f>0.126200739769231*(0.3)</f>
        <v>3.7860221930769232E-2</v>
      </c>
    </row>
    <row r="81" spans="1:14" x14ac:dyDescent="0.25">
      <c r="A81">
        <f>-1.208380824*(0.3)</f>
        <v>-0.36251424719999997</v>
      </c>
      <c r="B81">
        <f>0.0929523710769231*(0.3)</f>
        <v>2.7885711323076923E-2</v>
      </c>
      <c r="C81">
        <f>0.278857113230769*(0.3)</f>
        <v>8.365713396923076E-2</v>
      </c>
      <c r="D81">
        <f>0.0929523710769231*(0.3)</f>
        <v>2.7885711323076923E-2</v>
      </c>
      <c r="E81">
        <f>0.0929523710769231*(0.3)</f>
        <v>2.7885711323076923E-2</v>
      </c>
      <c r="F81">
        <f>0.0929523710769231*(0.3)</f>
        <v>2.7885711323076923E-2</v>
      </c>
      <c r="G81">
        <f>0.0557714226461538*(0.3)</f>
        <v>1.6731426793846153E-2</v>
      </c>
      <c r="H81">
        <f>0.0929523710769231*(0.3)</f>
        <v>2.7885711323076923E-2</v>
      </c>
      <c r="I81">
        <f>0.0929523710769231*(0.3)</f>
        <v>2.7885711323076923E-2</v>
      </c>
      <c r="J81">
        <f>-0.0185904742153846*(0.3)</f>
        <v>-5.5771422646153836E-3</v>
      </c>
      <c r="K81">
        <f>0.0929523710769231*(0.3)</f>
        <v>2.7885711323076923E-2</v>
      </c>
      <c r="L81">
        <f>0.0455466618276923*(0.3)</f>
        <v>1.3663998548307693E-2</v>
      </c>
      <c r="M81">
        <f>0.102247608184615*(0.3)</f>
        <v>3.0674282455384616E-2</v>
      </c>
      <c r="N81">
        <f>0.0929523710769231*(0.3)</f>
        <v>2.7885711323076923E-2</v>
      </c>
    </row>
    <row r="82" spans="1:14" x14ac:dyDescent="0.25">
      <c r="A82">
        <f>-3.121892062*(0.3)</f>
        <v>-0.93656761860000004</v>
      </c>
      <c r="B82">
        <f>0.240145543230769*(0.3)</f>
        <v>7.2043662969230773E-2</v>
      </c>
      <c r="C82">
        <f>0.720436629692308*(0.3)</f>
        <v>0.21613098890769231</v>
      </c>
      <c r="D82">
        <f>0.240145543230769*(0.3)</f>
        <v>7.2043662969230773E-2</v>
      </c>
      <c r="E82">
        <f>0.240145543230769*(0.3)</f>
        <v>7.2043662969230773E-2</v>
      </c>
      <c r="F82">
        <f>0.240145543230769*(0.3)</f>
        <v>7.2043662969230773E-2</v>
      </c>
      <c r="G82">
        <f>0.144087325938462*(0.3)</f>
        <v>4.322619778153846E-2</v>
      </c>
      <c r="H82">
        <f>0.240145543230769*(0.3)</f>
        <v>7.2043662969230773E-2</v>
      </c>
      <c r="I82">
        <f>0.240145543230769*(0.3)</f>
        <v>7.2043662969230773E-2</v>
      </c>
      <c r="J82">
        <f>-0.0480291086461538*(0.3)</f>
        <v>-1.4408732593846152E-2</v>
      </c>
      <c r="K82">
        <f>0.240145543230769*(0.3)</f>
        <v>7.2043662969230773E-2</v>
      </c>
      <c r="L82">
        <f>0.117671316183077*(0.3)</f>
        <v>3.5301394854923077E-2</v>
      </c>
      <c r="M82">
        <f>0.264160097553846*(0.3)</f>
        <v>7.9248029266153847E-2</v>
      </c>
      <c r="N82">
        <f>0.240145543230769*(0.3)</f>
        <v>7.2043662969230773E-2</v>
      </c>
    </row>
    <row r="83" spans="1:14" x14ac:dyDescent="0.25">
      <c r="A83">
        <f>0.42798936*(0.3)</f>
        <v>0.128396808</v>
      </c>
      <c r="B83">
        <f>-0.0329222584615385*(0.3)</f>
        <v>-9.8766775384615379E-3</v>
      </c>
      <c r="C83">
        <f>-0.0987667753846154*(0.3)</f>
        <v>-2.9630032615384619E-2</v>
      </c>
      <c r="D83">
        <f>-0.0329222584615385*(0.3)</f>
        <v>-9.8766775384615379E-3</v>
      </c>
      <c r="E83">
        <f>-0.0329222584615385*(0.3)</f>
        <v>-9.8766775384615379E-3</v>
      </c>
      <c r="F83">
        <f>-0.0329222584615385*(0.3)</f>
        <v>-9.8766775384615379E-3</v>
      </c>
      <c r="G83">
        <f>-0.0197533550769231*(0.3)</f>
        <v>-5.9260065230769222E-3</v>
      </c>
      <c r="H83">
        <f>-0.0329222584615385*(0.3)</f>
        <v>-9.8766775384615379E-3</v>
      </c>
      <c r="I83">
        <f>-0.0329222584615385*(0.3)</f>
        <v>-9.8766775384615379E-3</v>
      </c>
      <c r="J83">
        <f>0.00658445169230769*(0.3)</f>
        <v>1.9753355076923074E-3</v>
      </c>
      <c r="K83">
        <f>-0.0329222584615385*(0.3)</f>
        <v>-9.8766775384615379E-3</v>
      </c>
      <c r="L83">
        <f>-0.0161319066461538*(0.3)</f>
        <v>-4.8395719938461538E-3</v>
      </c>
      <c r="M83">
        <f>-0.0362144843076923*(0.3)</f>
        <v>-1.0864345292307695E-2</v>
      </c>
      <c r="N83">
        <f>-0.0329222584615385*(0.3)</f>
        <v>-9.8766775384615379E-3</v>
      </c>
    </row>
    <row r="84" spans="1:14" x14ac:dyDescent="0.25">
      <c r="A84">
        <f>3.650855132*(0.3)</f>
        <v>1.0952565395999998</v>
      </c>
      <c r="B84">
        <f>-0.280835010153846*(0.3)</f>
        <v>-8.4250503046153849E-2</v>
      </c>
      <c r="C84">
        <f>-0.842505030461538*(0.3)</f>
        <v>-0.25275150913846151</v>
      </c>
      <c r="D84">
        <f>-0.280835010153846*(0.3)</f>
        <v>-8.4250503046153849E-2</v>
      </c>
      <c r="E84">
        <f>-0.280835010153846*(0.3)</f>
        <v>-8.4250503046153849E-2</v>
      </c>
      <c r="F84">
        <f>-0.280835010153846*(0.3)</f>
        <v>-8.4250503046153849E-2</v>
      </c>
      <c r="G84">
        <f>-0.168501006092308*(0.3)</f>
        <v>-5.0550301827692309E-2</v>
      </c>
      <c r="H84">
        <f>-0.280835010153846*(0.3)</f>
        <v>-8.4250503046153849E-2</v>
      </c>
      <c r="I84">
        <f>-0.280835010153846*(0.3)</f>
        <v>-8.4250503046153849E-2</v>
      </c>
      <c r="J84">
        <f>0.0561670020307692*(0.3)</f>
        <v>1.6850100609230766E-2</v>
      </c>
      <c r="K84">
        <f>-0.280835010153846*(0.3)</f>
        <v>-8.4250503046153849E-2</v>
      </c>
      <c r="L84">
        <f>-0.137609154975385*(0.3)</f>
        <v>-4.1282746492615381E-2</v>
      </c>
      <c r="M84">
        <f>-0.308918511169231*(0.3)</f>
        <v>-9.2675553350769241E-2</v>
      </c>
      <c r="N84">
        <f>-0.280835010153846*(0.3)</f>
        <v>-8.4250503046153849E-2</v>
      </c>
    </row>
    <row r="85" spans="1:14" x14ac:dyDescent="0.25">
      <c r="A85">
        <f>0.369548421*(0.3)</f>
        <v>0.1108645263</v>
      </c>
      <c r="B85">
        <f>-0.0284268016153846*(0.3)</f>
        <v>-8.5280404846153849E-3</v>
      </c>
      <c r="C85">
        <f>-0.0852804048461538*(0.3)</f>
        <v>-2.5584121453846153E-2</v>
      </c>
      <c r="D85">
        <f>-0.0284268016153846*(0.3)</f>
        <v>-8.5280404846153849E-3</v>
      </c>
      <c r="E85">
        <f>-0.0284268016153846*(0.3)</f>
        <v>-8.5280404846153849E-3</v>
      </c>
      <c r="F85">
        <f>-0.0284268016153846*(0.3)</f>
        <v>-8.5280404846153849E-3</v>
      </c>
      <c r="G85">
        <f>-0.0170560809692308*(0.3)</f>
        <v>-5.1168242907692306E-3</v>
      </c>
      <c r="H85">
        <f>-0.0284268016153846*(0.3)</f>
        <v>-8.5280404846153849E-3</v>
      </c>
      <c r="I85">
        <f>-0.0284268016153846*(0.3)</f>
        <v>-8.5280404846153849E-3</v>
      </c>
      <c r="J85">
        <f>0.00568536032307692*(0.3)</f>
        <v>1.7056080969230767E-3</v>
      </c>
      <c r="K85">
        <f>-0.0284268016153846*(0.3)</f>
        <v>-8.5280404846153849E-3</v>
      </c>
      <c r="L85">
        <f>-0.0139291327915385*(0.3)</f>
        <v>-4.1787398374615384E-3</v>
      </c>
      <c r="M85">
        <f>-0.0312694817769231*(0.3)</f>
        <v>-9.3808445330769239E-3</v>
      </c>
      <c r="N85">
        <f>-0.0284268016153846*(0.3)</f>
        <v>-8.5280404846153849E-3</v>
      </c>
    </row>
    <row r="86" spans="1:14" x14ac:dyDescent="0.25">
      <c r="A86">
        <f>0.638544063*(0.3)</f>
        <v>0.1915632189</v>
      </c>
      <c r="B86">
        <f>-0.0491187740769231*(0.3)</f>
        <v>-1.4735632223076922E-2</v>
      </c>
      <c r="C86">
        <f>-0.147356322230769*(0.3)</f>
        <v>-4.4206896669230764E-2</v>
      </c>
      <c r="D86">
        <f>-0.0491187740769231*(0.3)</f>
        <v>-1.4735632223076922E-2</v>
      </c>
      <c r="E86">
        <f>-0.0491187740769231*(0.3)</f>
        <v>-1.4735632223076922E-2</v>
      </c>
      <c r="F86">
        <f>-0.0491187740769231*(0.3)</f>
        <v>-1.4735632223076922E-2</v>
      </c>
      <c r="G86">
        <f>-0.0294712644461538*(0.3)</f>
        <v>-8.841379333846152E-3</v>
      </c>
      <c r="H86">
        <f>-0.0491187740769231*(0.3)</f>
        <v>-1.4735632223076922E-2</v>
      </c>
      <c r="I86">
        <f>-0.0491187740769231*(0.3)</f>
        <v>-1.4735632223076922E-2</v>
      </c>
      <c r="J86">
        <f>0.00982375481538461*(0.3)</f>
        <v>2.9471264446153836E-3</v>
      </c>
      <c r="K86">
        <f>-0.0491187740769231*(0.3)</f>
        <v>-1.4735632223076922E-2</v>
      </c>
      <c r="L86">
        <f>-0.0240681992976923*(0.3)</f>
        <v>-7.2204597893076915E-3</v>
      </c>
      <c r="M86">
        <f>-0.0540306514846154*(0.3)</f>
        <v>-1.6209195445384617E-2</v>
      </c>
      <c r="N86">
        <f>-0.0491187740769231*(0.3)</f>
        <v>-1.4735632223076922E-2</v>
      </c>
    </row>
    <row r="87" spans="1:14" x14ac:dyDescent="0.25">
      <c r="A87">
        <f>2.02279497*(0.3)</f>
        <v>0.60683849099999998</v>
      </c>
      <c r="B87">
        <f>-0.155599613076923*(0.3)</f>
        <v>-4.6679883923076919E-2</v>
      </c>
      <c r="C87">
        <f>-0.466798839230769*(0.3)</f>
        <v>-0.14003965176923078</v>
      </c>
      <c r="D87">
        <f>-0.155599613076923*(0.3)</f>
        <v>-4.6679883923076919E-2</v>
      </c>
      <c r="E87">
        <f>-0.155599613076923*(0.3)</f>
        <v>-4.6679883923076919E-2</v>
      </c>
      <c r="F87">
        <f>-0.155599613076923*(0.3)</f>
        <v>-4.6679883923076919E-2</v>
      </c>
      <c r="G87">
        <f>-0.0933597678461538*(0.3)</f>
        <v>-2.8007930353846151E-2</v>
      </c>
      <c r="H87">
        <f>-0.155599613076923*(0.3)</f>
        <v>-4.6679883923076919E-2</v>
      </c>
      <c r="I87">
        <f>-0.155599613076923*(0.3)</f>
        <v>-4.6679883923076919E-2</v>
      </c>
      <c r="J87">
        <f>0.0311199226153846*(0.3)</f>
        <v>9.3359767846153824E-3</v>
      </c>
      <c r="K87">
        <f>-0.155599613076923*(0.3)</f>
        <v>-4.6679883923076919E-2</v>
      </c>
      <c r="L87">
        <f>-0.0762438104076923*(0.3)</f>
        <v>-2.287314312230769E-2</v>
      </c>
      <c r="M87">
        <f>-0.171159574384615*(0.3)</f>
        <v>-5.1347872315384617E-2</v>
      </c>
      <c r="N87">
        <f>-0.155599613076923*(0.3)</f>
        <v>-4.6679883923076919E-2</v>
      </c>
    </row>
    <row r="88" spans="1:14" x14ac:dyDescent="0.25">
      <c r="A88">
        <f>-2.833454754*(0.3)</f>
        <v>-0.85003642619999997</v>
      </c>
      <c r="B88">
        <f>0.217958058*(0.3)</f>
        <v>6.5387417399999995E-2</v>
      </c>
      <c r="C88">
        <f>0.653874174*(0.3)</f>
        <v>0.19616225219999997</v>
      </c>
      <c r="D88">
        <f>0.217958058*(0.3)</f>
        <v>6.5387417399999995E-2</v>
      </c>
      <c r="E88">
        <f>0.217958058*(0.3)</f>
        <v>6.5387417399999995E-2</v>
      </c>
      <c r="F88">
        <f>0.217958058*(0.3)</f>
        <v>6.5387417399999995E-2</v>
      </c>
      <c r="G88">
        <f>0.1307748348*(0.3)</f>
        <v>3.9232450439999997E-2</v>
      </c>
      <c r="H88">
        <f>0.217958058*(0.3)</f>
        <v>6.5387417399999995E-2</v>
      </c>
      <c r="I88">
        <f>0.217958058*(0.3)</f>
        <v>6.5387417399999995E-2</v>
      </c>
      <c r="J88">
        <f>-0.0435916116*(0.3)</f>
        <v>-1.3077483479999997E-2</v>
      </c>
      <c r="K88">
        <f>0.217958058*(0.3)</f>
        <v>6.5387417399999995E-2</v>
      </c>
      <c r="L88">
        <f>0.10679944842*(0.3)</f>
        <v>3.2039834525999997E-2</v>
      </c>
      <c r="M88">
        <f>0.2397538638*(0.3)</f>
        <v>7.1926159140000001E-2</v>
      </c>
      <c r="N88">
        <f>0.217958058*(0.3)</f>
        <v>6.5387417399999995E-2</v>
      </c>
    </row>
    <row r="89" spans="1:14" x14ac:dyDescent="0.25">
      <c r="A89">
        <f>3.828984859*(0.3)</f>
        <v>1.1486954576999999</v>
      </c>
      <c r="B89">
        <f>-0.294537296846154*(0.3)</f>
        <v>-8.8361189053846156E-2</v>
      </c>
      <c r="C89">
        <f>-0.883611890538462*(0.3)</f>
        <v>-0.26508356716153847</v>
      </c>
      <c r="D89">
        <f>-0.294537296846154*(0.3)</f>
        <v>-8.8361189053846156E-2</v>
      </c>
      <c r="E89">
        <f>-0.294537296846154*(0.3)</f>
        <v>-8.8361189053846156E-2</v>
      </c>
      <c r="F89">
        <f>-0.294537296846154*(0.3)</f>
        <v>-8.8361189053846156E-2</v>
      </c>
      <c r="G89">
        <f>-0.176722378107692*(0.3)</f>
        <v>-5.301671343230769E-2</v>
      </c>
      <c r="H89">
        <f>-0.294537296846154*(0.3)</f>
        <v>-8.8361189053846156E-2</v>
      </c>
      <c r="I89">
        <f>-0.294537296846154*(0.3)</f>
        <v>-8.8361189053846156E-2</v>
      </c>
      <c r="J89">
        <f>0.0589074593692308*(0.3)</f>
        <v>1.7672237810769226E-2</v>
      </c>
      <c r="K89">
        <f>-0.294537296846154*(0.3)</f>
        <v>-8.8361189053846156E-2</v>
      </c>
      <c r="L89">
        <f>-0.144323275454615*(0.3)</f>
        <v>-4.3296982636384616E-2</v>
      </c>
      <c r="M89">
        <f>-0.323991026530769*(0.3)</f>
        <v>-9.7197307959230775E-2</v>
      </c>
      <c r="N89">
        <f>-0.294537296846154*(0.3)</f>
        <v>-8.8361189053846156E-2</v>
      </c>
    </row>
    <row r="90" spans="1:14" x14ac:dyDescent="0.25">
      <c r="A90">
        <f>1.916064352*(0.3)</f>
        <v>0.57481930559999994</v>
      </c>
      <c r="B90">
        <f>-0.147389565538462*(0.3)</f>
        <v>-4.4216869661538462E-2</v>
      </c>
      <c r="C90">
        <f>-0.442168696615385*(0.3)</f>
        <v>-0.13265060898461539</v>
      </c>
      <c r="D90">
        <f>-0.147389565538462*(0.3)</f>
        <v>-4.4216869661538462E-2</v>
      </c>
      <c r="E90">
        <f>-0.147389565538462*(0.3)</f>
        <v>-4.4216869661538462E-2</v>
      </c>
      <c r="F90">
        <f>-0.147389565538462*(0.3)</f>
        <v>-4.4216869661538462E-2</v>
      </c>
      <c r="G90">
        <f>-0.0884337393230769*(0.3)</f>
        <v>-2.6530121796923076E-2</v>
      </c>
      <c r="H90">
        <f>-0.147389565538462*(0.3)</f>
        <v>-4.4216869661538462E-2</v>
      </c>
      <c r="I90">
        <f>-0.147389565538462*(0.3)</f>
        <v>-4.4216869661538462E-2</v>
      </c>
      <c r="J90">
        <f>0.0294779131076923*(0.3)</f>
        <v>8.843373932307691E-3</v>
      </c>
      <c r="K90">
        <f>-0.147389565538462*(0.3)</f>
        <v>-4.4216869661538462E-2</v>
      </c>
      <c r="L90">
        <f>-0.0722208871138462*(0.3)</f>
        <v>-2.1666266134153848E-2</v>
      </c>
      <c r="M90">
        <f>-0.162128522092308*(0.3)</f>
        <v>-4.8638556627692314E-2</v>
      </c>
      <c r="N90">
        <f>-0.147389565538462*(0.3)</f>
        <v>-4.4216869661538462E-2</v>
      </c>
    </row>
    <row r="91" spans="1:14" x14ac:dyDescent="0.25">
      <c r="A91">
        <f>-0.238140648*(0.3)</f>
        <v>-7.1442194400000006E-2</v>
      </c>
      <c r="B91">
        <f>0.0183185113846154*(0.3)</f>
        <v>5.495553415384615E-3</v>
      </c>
      <c r="C91">
        <f>0.0549555341538462*(0.3)</f>
        <v>1.6486660246153844E-2</v>
      </c>
      <c r="D91">
        <f>0.0183185113846154*(0.3)</f>
        <v>5.495553415384615E-3</v>
      </c>
      <c r="E91">
        <f>0.0183185113846154*(0.3)</f>
        <v>5.495553415384615E-3</v>
      </c>
      <c r="F91">
        <f>0.0183185113846154*(0.3)</f>
        <v>5.495553415384615E-3</v>
      </c>
      <c r="G91">
        <f>0.0109911068307692*(0.3)</f>
        <v>3.2973320492307688E-3</v>
      </c>
      <c r="H91">
        <f>0.0183185113846154*(0.3)</f>
        <v>5.495553415384615E-3</v>
      </c>
      <c r="I91">
        <f>0.0183185113846154*(0.3)</f>
        <v>5.495553415384615E-3</v>
      </c>
      <c r="J91">
        <f>-0.00366370227692308*(0.3)</f>
        <v>-1.0991106830769229E-3</v>
      </c>
      <c r="K91">
        <f>0.0183185113846154*(0.3)</f>
        <v>5.495553415384615E-3</v>
      </c>
      <c r="L91">
        <f>0.00897607057846154*(0.3)</f>
        <v>2.6928211735384616E-3</v>
      </c>
      <c r="M91">
        <f>0.0201503625230769*(0.3)</f>
        <v>6.0451087569230767E-3</v>
      </c>
      <c r="N91">
        <f>0.0183185113846154*(0.3)</f>
        <v>5.495553415384615E-3</v>
      </c>
    </row>
    <row r="92" spans="1:14" x14ac:dyDescent="0.25">
      <c r="A92">
        <f>1.809482738*(0.3)</f>
        <v>0.54284482140000001</v>
      </c>
      <c r="B92">
        <f>-0.139190979846154*(0.3)</f>
        <v>-4.1757293953846156E-2</v>
      </c>
      <c r="C92">
        <f>-0.417572939538462*(0.3)</f>
        <v>-0.12527188186153848</v>
      </c>
      <c r="D92">
        <f>-0.139190979846154*(0.3)</f>
        <v>-4.1757293953846156E-2</v>
      </c>
      <c r="E92">
        <f>-0.139190979846154*(0.3)</f>
        <v>-4.1757293953846156E-2</v>
      </c>
      <c r="F92">
        <f>-0.139190979846154*(0.3)</f>
        <v>-4.1757293953846156E-2</v>
      </c>
      <c r="G92">
        <f>-0.0835145879076923*(0.3)</f>
        <v>-2.5054376372307691E-2</v>
      </c>
      <c r="H92">
        <f>-0.139190979846154*(0.3)</f>
        <v>-4.1757293953846156E-2</v>
      </c>
      <c r="I92">
        <f>-0.139190979846154*(0.3)</f>
        <v>-4.1757293953846156E-2</v>
      </c>
      <c r="J92">
        <f>0.0278381959692308*(0.3)</f>
        <v>8.3514587907692287E-3</v>
      </c>
      <c r="K92">
        <f>-0.139190979846154*(0.3)</f>
        <v>-4.1757293953846156E-2</v>
      </c>
      <c r="L92">
        <f>-0.0682035801246154*(0.3)</f>
        <v>-2.0461074037384615E-2</v>
      </c>
      <c r="M92">
        <f>-0.153110077830769*(0.3)</f>
        <v>-4.593302334923078E-2</v>
      </c>
      <c r="N92">
        <f>-0.139190979846154*(0.3)</f>
        <v>-4.1757293953846156E-2</v>
      </c>
    </row>
    <row r="93" spans="1:14" x14ac:dyDescent="0.25">
      <c r="A93">
        <f>-1.091246936*(0.3)</f>
        <v>-0.32737408079999997</v>
      </c>
      <c r="B93">
        <f>0.083942072*(0.3)</f>
        <v>2.5182621599999996E-2</v>
      </c>
      <c r="C93">
        <f>0.251826216*(0.3)</f>
        <v>7.5547864799999989E-2</v>
      </c>
      <c r="D93">
        <f>0.083942072*(0.3)</f>
        <v>2.5182621599999996E-2</v>
      </c>
      <c r="E93">
        <f>0.083942072*(0.3)</f>
        <v>2.5182621599999996E-2</v>
      </c>
      <c r="F93">
        <f>0.083942072*(0.3)</f>
        <v>2.5182621599999996E-2</v>
      </c>
      <c r="G93">
        <f>0.0503652432*(0.3)</f>
        <v>1.5109572959999998E-2</v>
      </c>
      <c r="H93">
        <f>0.083942072*(0.3)</f>
        <v>2.5182621599999996E-2</v>
      </c>
      <c r="I93">
        <f>0.083942072*(0.3)</f>
        <v>2.5182621599999996E-2</v>
      </c>
      <c r="J93">
        <f>-0.0167884144*(0.3)</f>
        <v>-5.0365243199999984E-3</v>
      </c>
      <c r="K93">
        <f>0.083942072*(0.3)</f>
        <v>2.5182621599999996E-2</v>
      </c>
      <c r="L93">
        <f>0.04113161528*(0.3)</f>
        <v>1.2339484583999999E-2</v>
      </c>
      <c r="M93">
        <f>0.0923362792*(0.3)</f>
        <v>2.7700883759999999E-2</v>
      </c>
      <c r="N93">
        <f>0.083942072*(0.3)</f>
        <v>2.5182621599999996E-2</v>
      </c>
    </row>
    <row r="94" spans="1:14" x14ac:dyDescent="0.25">
      <c r="A94">
        <f>0.838353957*(0.3)</f>
        <v>0.2515061871</v>
      </c>
      <c r="B94">
        <f>-0.0644887659230769*(0.3)</f>
        <v>-1.9346629776923075E-2</v>
      </c>
      <c r="C94">
        <f>-0.193466297769231*(0.3)</f>
        <v>-5.8039889330769229E-2</v>
      </c>
      <c r="D94">
        <f>-0.0644887659230769*(0.3)</f>
        <v>-1.9346629776923075E-2</v>
      </c>
      <c r="E94">
        <f>-0.0644887659230769*(0.3)</f>
        <v>-1.9346629776923075E-2</v>
      </c>
      <c r="F94">
        <f>-0.0644887659230769*(0.3)</f>
        <v>-1.9346629776923075E-2</v>
      </c>
      <c r="G94">
        <f>-0.0386932595538462*(0.3)</f>
        <v>-1.1607977866153845E-2</v>
      </c>
      <c r="H94">
        <f>-0.0644887659230769*(0.3)</f>
        <v>-1.9346629776923075E-2</v>
      </c>
      <c r="I94">
        <f>-0.0644887659230769*(0.3)</f>
        <v>-1.9346629776923075E-2</v>
      </c>
      <c r="J94">
        <f>0.0128977531846154*(0.3)</f>
        <v>3.8693259553846142E-3</v>
      </c>
      <c r="K94">
        <f>-0.0644887659230769*(0.3)</f>
        <v>-1.9346629776923075E-2</v>
      </c>
      <c r="L94">
        <f>-0.0315994953023077*(0.3)</f>
        <v>-9.4798485906923066E-3</v>
      </c>
      <c r="M94">
        <f>-0.0709376425153846*(0.3)</f>
        <v>-2.1281292754615384E-2</v>
      </c>
      <c r="N94">
        <f>-0.0644887659230769*(0.3)</f>
        <v>-1.9346629776923075E-2</v>
      </c>
    </row>
    <row r="95" spans="1:14" x14ac:dyDescent="0.25">
      <c r="A95">
        <f>-3.414379406*(0.3)</f>
        <v>-1.0243138218000001</v>
      </c>
      <c r="B95">
        <f>0.262644569692308*(0.3)</f>
        <v>7.8793370907692312E-2</v>
      </c>
      <c r="C95">
        <f>0.787933709076923*(0.3)</f>
        <v>0.23638011272307693</v>
      </c>
      <c r="D95">
        <f>0.262644569692308*(0.3)</f>
        <v>7.8793370907692312E-2</v>
      </c>
      <c r="E95">
        <f>0.262644569692308*(0.3)</f>
        <v>7.8793370907692312E-2</v>
      </c>
      <c r="F95">
        <f>0.262644569692308*(0.3)</f>
        <v>7.8793370907692312E-2</v>
      </c>
      <c r="G95">
        <f>0.157586741815385*(0.3)</f>
        <v>4.7276022544615388E-2</v>
      </c>
      <c r="H95">
        <f>0.262644569692308*(0.3)</f>
        <v>7.8793370907692312E-2</v>
      </c>
      <c r="I95">
        <f>0.262644569692308*(0.3)</f>
        <v>7.8793370907692312E-2</v>
      </c>
      <c r="J95">
        <f>-0.0525289139384615*(0.3)</f>
        <v>-1.5758674181538458E-2</v>
      </c>
      <c r="K95">
        <f>0.262644569692308*(0.3)</f>
        <v>7.8793370907692312E-2</v>
      </c>
      <c r="L95">
        <f>0.128695839149231*(0.3)</f>
        <v>3.8608751744769229E-2</v>
      </c>
      <c r="M95">
        <f>0.288909026661539*(0.3)</f>
        <v>8.6672707998461551E-2</v>
      </c>
      <c r="N95">
        <f>0.262644569692308*(0.3)</f>
        <v>7.8793370907692312E-2</v>
      </c>
    </row>
    <row r="96" spans="1:14" x14ac:dyDescent="0.25">
      <c r="A96">
        <f>1.846734654*(0.3)</f>
        <v>0.55402039619999999</v>
      </c>
      <c r="B96">
        <f>-0.142056511846154*(0.3)</f>
        <v>-4.2616953553846149E-2</v>
      </c>
      <c r="C96">
        <f>-0.426169535538461*(0.3)</f>
        <v>-0.12785086066153845</v>
      </c>
      <c r="D96">
        <f>-0.142056511846154*(0.3)</f>
        <v>-4.2616953553846149E-2</v>
      </c>
      <c r="E96">
        <f>-0.142056511846154*(0.3)</f>
        <v>-4.2616953553846149E-2</v>
      </c>
      <c r="F96">
        <f>-0.142056511846154*(0.3)</f>
        <v>-4.2616953553846149E-2</v>
      </c>
      <c r="G96">
        <f>-0.0852339071076923*(0.3)</f>
        <v>-2.5570172132307688E-2</v>
      </c>
      <c r="H96">
        <f>-0.142056511846154*(0.3)</f>
        <v>-4.2616953553846149E-2</v>
      </c>
      <c r="I96">
        <f>-0.142056511846154*(0.3)</f>
        <v>-4.2616953553846149E-2</v>
      </c>
      <c r="J96">
        <f>0.0284113023692308*(0.3)</f>
        <v>8.5233907107692269E-3</v>
      </c>
      <c r="K96">
        <f>-0.142056511846154*(0.3)</f>
        <v>-4.2616953553846149E-2</v>
      </c>
      <c r="L96">
        <f>-0.0696076908046154*(0.3)</f>
        <v>-2.0882307241384613E-2</v>
      </c>
      <c r="M96">
        <f>-0.156262163030769*(0.3)</f>
        <v>-4.6878648909230769E-2</v>
      </c>
      <c r="N96">
        <f>-0.142056511846154*(0.3)</f>
        <v>-4.2616953553846149E-2</v>
      </c>
    </row>
    <row r="97" spans="1:14" x14ac:dyDescent="0.25">
      <c r="A97">
        <f>-16.61965216*(0.3)</f>
        <v>-4.9858956480000005</v>
      </c>
      <c r="B97">
        <f>1.27843478153846*(0.3)</f>
        <v>0.38353043446153845</v>
      </c>
      <c r="C97">
        <f>3.83530434461538*(0.3)</f>
        <v>1.1505913033846153</v>
      </c>
      <c r="D97">
        <f>1.27843478153846*(0.3)</f>
        <v>0.38353043446153845</v>
      </c>
      <c r="E97">
        <f>1.27843478153846*(0.3)</f>
        <v>0.38353043446153845</v>
      </c>
      <c r="F97">
        <f>1.27843478153846*(0.3)</f>
        <v>0.38353043446153845</v>
      </c>
      <c r="G97">
        <f>0.767060868923077*(0.3)</f>
        <v>0.23011826067692306</v>
      </c>
      <c r="H97">
        <f>1.27843478153846*(0.3)</f>
        <v>0.38353043446153845</v>
      </c>
      <c r="I97">
        <f>1.27843478153846*(0.3)</f>
        <v>0.38353043446153845</v>
      </c>
      <c r="J97">
        <f>-0.255686956307692*(0.3)</f>
        <v>-7.6706086892307679E-2</v>
      </c>
      <c r="K97">
        <f>1.27843478153846*(0.3)</f>
        <v>0.38353043446153845</v>
      </c>
      <c r="L97">
        <f>0.626433042953846*(0.3)</f>
        <v>0.18792991288615385</v>
      </c>
      <c r="M97">
        <f>1.40627825969231*(0.3)</f>
        <v>0.42188347790769232</v>
      </c>
      <c r="N97">
        <f>1.27843478153846*(0.3)</f>
        <v>0.38353043446153845</v>
      </c>
    </row>
    <row r="98" spans="1:14" x14ac:dyDescent="0.25">
      <c r="A98">
        <f>-2.162448069*(0.3)</f>
        <v>-0.64873442069999998</v>
      </c>
      <c r="B98">
        <f>0.166342159153846*(0.3)</f>
        <v>4.9902647746153841E-2</v>
      </c>
      <c r="C98">
        <f>0.499026477461538*(0.3)</f>
        <v>0.14970794323846154</v>
      </c>
      <c r="D98">
        <f>0.166342159153846*(0.3)</f>
        <v>4.9902647746153841E-2</v>
      </c>
      <c r="E98">
        <f>0.166342159153846*(0.3)</f>
        <v>4.9902647746153841E-2</v>
      </c>
      <c r="F98">
        <f>0.166342159153846*(0.3)</f>
        <v>4.9902647746153841E-2</v>
      </c>
      <c r="G98">
        <f>0.0998052954923077*(0.3)</f>
        <v>2.9941588647692304E-2</v>
      </c>
      <c r="H98">
        <f>0.166342159153846*(0.3)</f>
        <v>4.9902647746153841E-2</v>
      </c>
      <c r="I98">
        <f>0.166342159153846*(0.3)</f>
        <v>4.9902647746153841E-2</v>
      </c>
      <c r="J98">
        <f>-0.0332684318307692*(0.3)</f>
        <v>-9.9805295492307669E-3</v>
      </c>
      <c r="K98">
        <f>0.166342159153846*(0.3)</f>
        <v>4.9902647746153841E-2</v>
      </c>
      <c r="L98">
        <f>0.0815076579853846*(0.3)</f>
        <v>2.4452297395615382E-2</v>
      </c>
      <c r="M98">
        <f>0.182976375069231*(0.3)</f>
        <v>5.4892912520769235E-2</v>
      </c>
      <c r="N98">
        <f>0.166342159153846*(0.3)</f>
        <v>4.9902647746153841E-2</v>
      </c>
    </row>
    <row r="99" spans="1:14" x14ac:dyDescent="0.25">
      <c r="A99">
        <f>-23.73296004*(0.3)</f>
        <v>-7.1198880119999997</v>
      </c>
      <c r="B99">
        <f>1.82561231076923*(0.3)</f>
        <v>0.54768369323076915</v>
      </c>
      <c r="C99">
        <f>5.47683693230769*(0.3)</f>
        <v>1.6430510796923075</v>
      </c>
      <c r="D99">
        <f>1.82561231076923*(0.3)</f>
        <v>0.54768369323076915</v>
      </c>
      <c r="E99">
        <f>1.82561231076923*(0.3)</f>
        <v>0.54768369323076915</v>
      </c>
      <c r="F99">
        <f>1.82561231076923*(0.3)</f>
        <v>0.54768369323076915</v>
      </c>
      <c r="G99">
        <f>1.09536738646154*(0.3)</f>
        <v>0.32861021593846146</v>
      </c>
      <c r="H99">
        <f>1.82561231076923*(0.3)</f>
        <v>0.54768369323076915</v>
      </c>
      <c r="I99">
        <f>1.82561231076923*(0.3)</f>
        <v>0.54768369323076915</v>
      </c>
      <c r="J99">
        <f>-0.365122462153846*(0.3)</f>
        <v>-0.10953673864615381</v>
      </c>
      <c r="K99">
        <f>1.82561231076923*(0.3)</f>
        <v>0.54768369323076915</v>
      </c>
      <c r="L99">
        <f>0.894550032276923*(0.3)</f>
        <v>0.26836500968307686</v>
      </c>
      <c r="M99">
        <f>2.00817354184615*(0.3)</f>
        <v>0.6024520625538462</v>
      </c>
      <c r="N99">
        <f>1.82561231076923*(0.3)</f>
        <v>0.54768369323076915</v>
      </c>
    </row>
    <row r="100" spans="1:14" x14ac:dyDescent="0.25">
      <c r="A100">
        <f>0.44059151*(0.3)</f>
        <v>0.132177453</v>
      </c>
      <c r="B100">
        <f>-0.0338916546153846*(0.3)</f>
        <v>-1.0167496384615385E-2</v>
      </c>
      <c r="C100">
        <f>-0.101674963846154*(0.3)</f>
        <v>-3.0502489153846152E-2</v>
      </c>
      <c r="D100">
        <f>-0.0338916546153846*(0.3)</f>
        <v>-1.0167496384615385E-2</v>
      </c>
      <c r="E100">
        <f>-0.0338916546153846*(0.3)</f>
        <v>-1.0167496384615385E-2</v>
      </c>
      <c r="F100">
        <f>-0.0338916546153846*(0.3)</f>
        <v>-1.0167496384615385E-2</v>
      </c>
      <c r="G100">
        <f>-0.0203349927692308*(0.3)</f>
        <v>-6.1004978307692302E-3</v>
      </c>
      <c r="H100">
        <f>-0.0338916546153846*(0.3)</f>
        <v>-1.0167496384615385E-2</v>
      </c>
      <c r="I100">
        <f>-0.0338916546153846*(0.3)</f>
        <v>-1.0167496384615385E-2</v>
      </c>
      <c r="J100">
        <f>0.00677833092307692*(0.3)</f>
        <v>2.0334992769230767E-3</v>
      </c>
      <c r="K100">
        <f>-0.0338916546153846*(0.3)</f>
        <v>-1.0167496384615385E-2</v>
      </c>
      <c r="L100">
        <f>-0.0166069107615385*(0.3)</f>
        <v>-4.9820732284615388E-3</v>
      </c>
      <c r="M100">
        <f>-0.0372808200769231*(0.3)</f>
        <v>-1.1184246023076926E-2</v>
      </c>
      <c r="N100">
        <f>-0.0338916546153846*(0.3)</f>
        <v>-1.0167496384615385E-2</v>
      </c>
    </row>
    <row r="101" spans="1:14" x14ac:dyDescent="0.25">
      <c r="A101">
        <f>-33.30246152*(0.3)</f>
        <v>-9.9907384560000008</v>
      </c>
      <c r="B101">
        <f>2.56172780923077*(0.3)</f>
        <v>0.76851834276923081</v>
      </c>
      <c r="C101">
        <f>7.68518342769231*(0.3)</f>
        <v>2.3055550283076927</v>
      </c>
      <c r="D101">
        <f>2.56172780923077*(0.3)</f>
        <v>0.76851834276923081</v>
      </c>
      <c r="E101">
        <f>2.56172780923077*(0.3)</f>
        <v>0.76851834276923081</v>
      </c>
      <c r="F101">
        <f>2.56172780923077*(0.3)</f>
        <v>0.76851834276923081</v>
      </c>
      <c r="G101">
        <f>1.53703668553846*(0.3)</f>
        <v>0.46111100566153845</v>
      </c>
      <c r="H101">
        <f>2.56172780923077*(0.3)</f>
        <v>0.76851834276923081</v>
      </c>
      <c r="I101">
        <f>2.56172780923077*(0.3)</f>
        <v>0.76851834276923081</v>
      </c>
      <c r="J101">
        <f>-0.512345561846154*(0.3)</f>
        <v>-0.15370366855384612</v>
      </c>
      <c r="K101">
        <f>2.56172780923077*(0.3)</f>
        <v>0.76851834276923081</v>
      </c>
      <c r="L101">
        <f>1.25524662652308*(0.3)</f>
        <v>0.3765739879569231</v>
      </c>
      <c r="M101">
        <f>2.81790059015385*(0.3)</f>
        <v>0.84537017704615391</v>
      </c>
      <c r="N101">
        <f>2.56172780923077*(0.3)</f>
        <v>0.76851834276923081</v>
      </c>
    </row>
    <row r="102" spans="1:14" x14ac:dyDescent="0.25">
      <c r="A102">
        <f>-3.526616316*(0.3)</f>
        <v>-1.0579848947999999</v>
      </c>
      <c r="B102">
        <f>0.271278178153846*(0.3)</f>
        <v>8.1383453446153844E-2</v>
      </c>
      <c r="C102">
        <f>0.813834534461538*(0.3)</f>
        <v>0.24415036033846152</v>
      </c>
      <c r="D102">
        <f>0.271278178153846*(0.3)</f>
        <v>8.1383453446153844E-2</v>
      </c>
      <c r="E102">
        <f>0.271278178153846*(0.3)</f>
        <v>8.1383453446153844E-2</v>
      </c>
      <c r="F102">
        <f>0.271278178153846*(0.3)</f>
        <v>8.1383453446153844E-2</v>
      </c>
      <c r="G102">
        <f>0.162766906892308*(0.3)</f>
        <v>4.8830072067692305E-2</v>
      </c>
      <c r="H102">
        <f>0.271278178153846*(0.3)</f>
        <v>8.1383453446153844E-2</v>
      </c>
      <c r="I102">
        <f>0.271278178153846*(0.3)</f>
        <v>8.1383453446153844E-2</v>
      </c>
      <c r="J102">
        <f>-0.0542556356307692*(0.3)</f>
        <v>-1.6276690689230766E-2</v>
      </c>
      <c r="K102">
        <f>0.271278178153846*(0.3)</f>
        <v>8.1383453446153844E-2</v>
      </c>
      <c r="L102">
        <f>0.132926307295385*(0.3)</f>
        <v>3.9877892188615378E-2</v>
      </c>
      <c r="M102">
        <f>0.298405995969231*(0.3)</f>
        <v>8.9521798790769228E-2</v>
      </c>
      <c r="N102">
        <f>0.271278178153846*(0.3)</f>
        <v>8.1383453446153844E-2</v>
      </c>
    </row>
    <row r="103" spans="1:14" x14ac:dyDescent="0.25">
      <c r="A103">
        <f>-41.62583673*(0.3)</f>
        <v>-12.487751019000001</v>
      </c>
      <c r="B103">
        <f>3.20198744076923*(0.3)</f>
        <v>0.96059623223076918</v>
      </c>
      <c r="C103">
        <f>9.60596232230769*(0.3)</f>
        <v>2.8817886966923081</v>
      </c>
      <c r="D103">
        <f>3.20198744076923*(0.3)</f>
        <v>0.96059623223076918</v>
      </c>
      <c r="E103">
        <f>3.20198744076923*(0.3)</f>
        <v>0.96059623223076918</v>
      </c>
      <c r="F103">
        <f>3.20198744076923*(0.3)</f>
        <v>0.96059623223076918</v>
      </c>
      <c r="G103">
        <f>1.92119246446154*(0.3)</f>
        <v>0.57635773933846146</v>
      </c>
      <c r="H103">
        <f>3.20198744076923*(0.3)</f>
        <v>0.96059623223076918</v>
      </c>
      <c r="I103">
        <f>3.20198744076923*(0.3)</f>
        <v>0.96059623223076918</v>
      </c>
      <c r="J103">
        <f>-0.640397488153846*(0.3)</f>
        <v>-0.1921192464461538</v>
      </c>
      <c r="K103">
        <f>3.20198744076923*(0.3)</f>
        <v>0.96059623223076918</v>
      </c>
      <c r="L103">
        <f>1.56897384597692*(0.3)</f>
        <v>0.47069215379307694</v>
      </c>
      <c r="M103">
        <f>3.52218618484615*(0.3)</f>
        <v>1.0566558554538461</v>
      </c>
      <c r="N103">
        <f>3.20198744076923*(0.3)</f>
        <v>0.96059623223076918</v>
      </c>
    </row>
    <row r="104" spans="1:14" x14ac:dyDescent="0.25">
      <c r="A104">
        <f>2.112943983*(0.3)</f>
        <v>0.6338831949</v>
      </c>
      <c r="B104">
        <f>-0.162534152538462*(0.3)</f>
        <v>-4.8760245761538458E-2</v>
      </c>
      <c r="C104">
        <f>-0.487602457615385*(0.3)</f>
        <v>-0.14628073728461538</v>
      </c>
      <c r="D104">
        <f>-0.162534152538462*(0.3)</f>
        <v>-4.8760245761538458E-2</v>
      </c>
      <c r="E104">
        <f>-0.162534152538462*(0.3)</f>
        <v>-4.8760245761538458E-2</v>
      </c>
      <c r="F104">
        <f>-0.162534152538462*(0.3)</f>
        <v>-4.8760245761538458E-2</v>
      </c>
      <c r="G104">
        <f>-0.0975204915230769*(0.3)</f>
        <v>-2.9256147456923072E-2</v>
      </c>
      <c r="H104">
        <f>-0.162534152538462*(0.3)</f>
        <v>-4.8760245761538458E-2</v>
      </c>
      <c r="I104">
        <f>-0.162534152538462*(0.3)</f>
        <v>-4.8760245761538458E-2</v>
      </c>
      <c r="J104">
        <f>0.0325068305076923*(0.3)</f>
        <v>9.7520491523076895E-3</v>
      </c>
      <c r="K104">
        <f>-0.162534152538462*(0.3)</f>
        <v>-4.8760245761538458E-2</v>
      </c>
      <c r="L104">
        <f>-0.0796417347438462*(0.3)</f>
        <v>-2.3892520423153846E-2</v>
      </c>
      <c r="M104">
        <f>-0.178787567792308*(0.3)</f>
        <v>-5.3636270337692311E-2</v>
      </c>
      <c r="N104">
        <f>-0.162534152538462*(0.3)</f>
        <v>-4.8760245761538458E-2</v>
      </c>
    </row>
    <row r="105" spans="1:14" x14ac:dyDescent="0.25">
      <c r="A105">
        <f>-49.43849903*(0.3)</f>
        <v>-14.831549709000001</v>
      </c>
      <c r="B105">
        <f>3.80296146384615*(0.3)</f>
        <v>1.1408884391538463</v>
      </c>
      <c r="C105">
        <f>11.4088843915385*(0.3)</f>
        <v>3.4226653174615387</v>
      </c>
      <c r="D105">
        <f>3.80296146384615*(0.3)</f>
        <v>1.1408884391538463</v>
      </c>
      <c r="E105">
        <f>3.80296146384615*(0.3)</f>
        <v>1.1408884391538463</v>
      </c>
      <c r="F105">
        <f>3.80296146384615*(0.3)</f>
        <v>1.1408884391538463</v>
      </c>
      <c r="G105">
        <f>2.28177687830769*(0.3)</f>
        <v>0.6845330634923078</v>
      </c>
      <c r="H105">
        <f>3.80296146384615*(0.3)</f>
        <v>1.1408884391538463</v>
      </c>
      <c r="I105">
        <f>3.80296146384615*(0.3)</f>
        <v>1.1408884391538463</v>
      </c>
      <c r="J105">
        <f>-0.760592292769231*(0.3)</f>
        <v>-0.22817768783076919</v>
      </c>
      <c r="K105">
        <f>3.80296146384615*(0.3)</f>
        <v>1.1408884391538463</v>
      </c>
      <c r="L105">
        <f>1.86345111728462*(0.3)</f>
        <v>0.55903533518538462</v>
      </c>
      <c r="M105">
        <f>4.18325761023077*(0.3)</f>
        <v>1.254977283069231</v>
      </c>
      <c r="N105">
        <f>3.80296146384615*(0.3)</f>
        <v>1.1408884391538463</v>
      </c>
    </row>
    <row r="106" spans="1:14" x14ac:dyDescent="0.25">
      <c r="A106">
        <f>-0.844470374*(0.3)</f>
        <v>-0.2533411122</v>
      </c>
      <c r="B106">
        <f>0.0649592595384615*(0.3)</f>
        <v>1.9487777861538463E-2</v>
      </c>
      <c r="C106">
        <f>0.194877778615385*(0.3)</f>
        <v>5.846333358461539E-2</v>
      </c>
      <c r="D106">
        <f>0.0649592595384615*(0.3)</f>
        <v>1.9487777861538463E-2</v>
      </c>
      <c r="E106">
        <f>0.0649592595384615*(0.3)</f>
        <v>1.9487777861538463E-2</v>
      </c>
      <c r="F106">
        <f>0.0649592595384615*(0.3)</f>
        <v>1.9487777861538463E-2</v>
      </c>
      <c r="G106">
        <f>0.0389755557230769*(0.3)</f>
        <v>1.1692666716923077E-2</v>
      </c>
      <c r="H106">
        <f>0.0649592595384615*(0.3)</f>
        <v>1.9487777861538463E-2</v>
      </c>
      <c r="I106">
        <f>0.0649592595384615*(0.3)</f>
        <v>1.9487777861538463E-2</v>
      </c>
      <c r="J106">
        <f>-0.0129918519076923*(0.3)</f>
        <v>-3.8975555723076913E-3</v>
      </c>
      <c r="K106">
        <f>0.0649592595384615*(0.3)</f>
        <v>1.9487777861538463E-2</v>
      </c>
      <c r="L106">
        <f>0.0318300371738462*(0.3)</f>
        <v>9.5490111521538464E-3</v>
      </c>
      <c r="M106">
        <f>0.0714551854923077*(0.3)</f>
        <v>2.1436555647692309E-2</v>
      </c>
      <c r="N106">
        <f>0.0649592595384615*(0.3)</f>
        <v>1.9487777861538463E-2</v>
      </c>
    </row>
    <row r="107" spans="1:14" x14ac:dyDescent="0.25">
      <c r="A107">
        <f>-60.16945422*(0.3)</f>
        <v>-18.050836265999997</v>
      </c>
      <c r="B107">
        <f>4.62841955538462*(0.3)</f>
        <v>1.3885258666153846</v>
      </c>
      <c r="C107">
        <f>13.8852586661538*(0.3)</f>
        <v>4.1655775998461539</v>
      </c>
      <c r="D107">
        <f>4.62841955538462*(0.3)</f>
        <v>1.3885258666153846</v>
      </c>
      <c r="E107">
        <f>4.62841955538462*(0.3)</f>
        <v>1.3885258666153846</v>
      </c>
      <c r="F107">
        <f>4.62841955538462*(0.3)</f>
        <v>1.3885258666153846</v>
      </c>
      <c r="G107">
        <f>2.77705173323077*(0.3)</f>
        <v>0.83311551996923072</v>
      </c>
      <c r="H107">
        <f>4.62841955538462*(0.3)</f>
        <v>1.3885258666153846</v>
      </c>
      <c r="I107">
        <f>4.62841955538462*(0.3)</f>
        <v>1.3885258666153846</v>
      </c>
      <c r="J107">
        <f>-0.925683911076923*(0.3)</f>
        <v>-0.27770517332307687</v>
      </c>
      <c r="K107">
        <f>4.62841955538462*(0.3)</f>
        <v>1.3885258666153846</v>
      </c>
      <c r="L107">
        <f>2.26792558213846*(0.3)</f>
        <v>0.68037767464153853</v>
      </c>
      <c r="M107">
        <f>5.09126151092308*(0.3)</f>
        <v>1.5273784532769232</v>
      </c>
      <c r="N107">
        <f>4.62841955538462*(0.3)</f>
        <v>1.3885258666153846</v>
      </c>
    </row>
    <row r="108" spans="1:14" x14ac:dyDescent="0.25">
      <c r="A108">
        <f>-0.391396532*(0.3)</f>
        <v>-0.1174189596</v>
      </c>
      <c r="B108">
        <f>0.0301074255384615*(0.3)</f>
        <v>9.0322276615384615E-3</v>
      </c>
      <c r="C108">
        <f>0.0903222766153846*(0.3)</f>
        <v>2.7096682984615383E-2</v>
      </c>
      <c r="D108">
        <f>0.0301074255384615*(0.3)</f>
        <v>9.0322276615384615E-3</v>
      </c>
      <c r="E108">
        <f>0.0301074255384615*(0.3)</f>
        <v>9.0322276615384615E-3</v>
      </c>
      <c r="F108">
        <f>0.0301074255384615*(0.3)</f>
        <v>9.0322276615384615E-3</v>
      </c>
      <c r="G108">
        <f>0.0180644553230769*(0.3)</f>
        <v>5.4193365969230764E-3</v>
      </c>
      <c r="H108">
        <f>0.0301074255384615*(0.3)</f>
        <v>9.0322276615384615E-3</v>
      </c>
      <c r="I108">
        <f>0.0301074255384615*(0.3)</f>
        <v>9.0322276615384615E-3</v>
      </c>
      <c r="J108">
        <f>-0.00602148510769231*(0.3)</f>
        <v>-1.8064455323076919E-3</v>
      </c>
      <c r="K108">
        <f>0.0301074255384615*(0.3)</f>
        <v>9.0322276615384615E-3</v>
      </c>
      <c r="L108">
        <f>0.0147526385138462*(0.3)</f>
        <v>4.4257915541538462E-3</v>
      </c>
      <c r="M108">
        <f>0.0331181680923077*(0.3)</f>
        <v>9.9354504276923071E-3</v>
      </c>
      <c r="N108">
        <f>0.0301074255384615*(0.3)</f>
        <v>9.0322276615384615E-3</v>
      </c>
    </row>
    <row r="109" spans="1:14" x14ac:dyDescent="0.25">
      <c r="A109">
        <f>-76.07369271*(0.3)</f>
        <v>-22.822107812999999</v>
      </c>
      <c r="B109">
        <f>5.85182251615385*(0.3)</f>
        <v>1.7555467548461539</v>
      </c>
      <c r="C109">
        <f>17.5554675484615*(0.3)</f>
        <v>5.266640264538462</v>
      </c>
      <c r="D109">
        <f>5.85182251615385*(0.3)</f>
        <v>1.7555467548461539</v>
      </c>
      <c r="E109">
        <f>5.85182251615385*(0.3)</f>
        <v>1.7555467548461539</v>
      </c>
      <c r="F109">
        <f>5.85182251615385*(0.3)</f>
        <v>1.7555467548461539</v>
      </c>
      <c r="G109">
        <f>3.51109350969231*(0.3)</f>
        <v>1.0533280529076923</v>
      </c>
      <c r="H109">
        <f>5.85182251615385*(0.3)</f>
        <v>1.7555467548461539</v>
      </c>
      <c r="I109">
        <f>5.85182251615385*(0.3)</f>
        <v>1.7555467548461539</v>
      </c>
      <c r="J109">
        <f>-1.17036450323077*(0.3)</f>
        <v>-0.35110935096923068</v>
      </c>
      <c r="K109">
        <f>5.85182251615385*(0.3)</f>
        <v>1.7555467548461539</v>
      </c>
      <c r="L109">
        <f>2.86739303291538*(0.3)</f>
        <v>0.86021790987461533</v>
      </c>
      <c r="M109">
        <f>6.43700476776923*(0.3)</f>
        <v>1.9311014303307692</v>
      </c>
      <c r="N109">
        <f>5.85182251615385*(0.3)</f>
        <v>1.7555467548461539</v>
      </c>
    </row>
    <row r="110" spans="1:14" x14ac:dyDescent="0.25">
      <c r="A110">
        <f>-0.99395154*(0.3)</f>
        <v>-0.29818546199999996</v>
      </c>
      <c r="B110">
        <f>0.0764578107692308*(0.3)</f>
        <v>2.2937343230769229E-2</v>
      </c>
      <c r="C110">
        <f>0.229373432307692*(0.3)</f>
        <v>6.8812029692307694E-2</v>
      </c>
      <c r="D110">
        <f>0.0764578107692308*(0.3)</f>
        <v>2.2937343230769229E-2</v>
      </c>
      <c r="E110">
        <f>0.0764578107692308*(0.3)</f>
        <v>2.2937343230769229E-2</v>
      </c>
      <c r="F110">
        <f>0.0764578107692308*(0.3)</f>
        <v>2.2937343230769229E-2</v>
      </c>
      <c r="G110">
        <f>0.0458746864615385*(0.3)</f>
        <v>1.3762405938461538E-2</v>
      </c>
      <c r="H110">
        <f>0.0764578107692308*(0.3)</f>
        <v>2.2937343230769229E-2</v>
      </c>
      <c r="I110">
        <f>0.0764578107692308*(0.3)</f>
        <v>2.2937343230769229E-2</v>
      </c>
      <c r="J110">
        <f>-0.0152915621538461*(0.3)</f>
        <v>-4.5874686461538448E-3</v>
      </c>
      <c r="K110">
        <f>0.0764578107692308*(0.3)</f>
        <v>2.2937343230769229E-2</v>
      </c>
      <c r="L110">
        <f>0.0374643272769231*(0.3)</f>
        <v>1.1239298183076922E-2</v>
      </c>
      <c r="M110">
        <f>0.0841035918461538*(0.3)</f>
        <v>2.5231077553846154E-2</v>
      </c>
      <c r="N110">
        <f>0.0764578107692308*(0.3)</f>
        <v>2.2937343230769229E-2</v>
      </c>
    </row>
    <row r="111" spans="1:14" x14ac:dyDescent="0.25">
      <c r="A111">
        <f>-84.86993789*(0.3)</f>
        <v>-25.460981366999999</v>
      </c>
      <c r="B111">
        <f>6.52845676076923*(0.3)</f>
        <v>1.9585370282307693</v>
      </c>
      <c r="C111">
        <f>19.5853702823077*(0.3)</f>
        <v>5.8756110846923075</v>
      </c>
      <c r="D111">
        <f>6.52845676076923*(0.3)</f>
        <v>1.9585370282307693</v>
      </c>
      <c r="E111">
        <f>6.52845676076923*(0.3)</f>
        <v>1.9585370282307693</v>
      </c>
      <c r="F111">
        <f>6.52845676076923*(0.3)</f>
        <v>1.9585370282307693</v>
      </c>
      <c r="G111">
        <f>3.91707405646154*(0.3)</f>
        <v>1.1751222169384614</v>
      </c>
      <c r="H111">
        <f>6.52845676076923*(0.3)</f>
        <v>1.9585370282307693</v>
      </c>
      <c r="I111">
        <f>6.52845676076923*(0.3)</f>
        <v>1.9585370282307693</v>
      </c>
      <c r="J111">
        <f>-1.30569135215385*(0.3)</f>
        <v>-0.39170740564615375</v>
      </c>
      <c r="K111">
        <f>6.52845676076923*(0.3)</f>
        <v>1.9585370282307693</v>
      </c>
      <c r="L111">
        <f>3.19894381277692*(0.3)</f>
        <v>0.95968314383307685</v>
      </c>
      <c r="M111">
        <f>7.18130243684615*(0.3)</f>
        <v>2.1543907310538462</v>
      </c>
      <c r="N111">
        <f>6.52845676076923*(0.3)</f>
        <v>1.9585370282307693</v>
      </c>
    </row>
    <row r="112" spans="1:14" x14ac:dyDescent="0.25">
      <c r="A112">
        <f>1.134438645*(0.3)</f>
        <v>0.34033159349999997</v>
      </c>
      <c r="B112">
        <f>-0.0872645111538461*(0.3)</f>
        <v>-2.6179353346153844E-2</v>
      </c>
      <c r="C112">
        <f>-0.261793533461538*(0.3)</f>
        <v>-7.8538060038461532E-2</v>
      </c>
      <c r="D112">
        <f>-0.0872645111538461*(0.3)</f>
        <v>-2.6179353346153844E-2</v>
      </c>
      <c r="E112">
        <f>-0.0872645111538461*(0.3)</f>
        <v>-2.6179353346153844E-2</v>
      </c>
      <c r="F112">
        <f>-0.0872645111538461*(0.3)</f>
        <v>-2.6179353346153844E-2</v>
      </c>
      <c r="G112">
        <f>-0.0523587066923077*(0.3)</f>
        <v>-1.5707612007692304E-2</v>
      </c>
      <c r="H112">
        <f>-0.0872645111538461*(0.3)</f>
        <v>-2.6179353346153844E-2</v>
      </c>
      <c r="I112">
        <f>-0.0872645111538461*(0.3)</f>
        <v>-2.6179353346153844E-2</v>
      </c>
      <c r="J112">
        <f>0.0174529022307692*(0.3)</f>
        <v>5.2358706692307673E-3</v>
      </c>
      <c r="K112">
        <f>-0.0872645111538461*(0.3)</f>
        <v>-2.6179353346153844E-2</v>
      </c>
      <c r="L112">
        <f>-0.0427596104653846*(0.3)</f>
        <v>-1.2827883139615382E-2</v>
      </c>
      <c r="M112">
        <f>-0.0959909622692308*(0.3)</f>
        <v>-2.879728868076923E-2</v>
      </c>
      <c r="N112">
        <f>-0.0872645111538461*(0.3)</f>
        <v>-2.6179353346153844E-2</v>
      </c>
    </row>
    <row r="113" spans="1:14" x14ac:dyDescent="0.25">
      <c r="A113">
        <f>-4.62647614*(0.3)</f>
        <v>-1.387942842</v>
      </c>
      <c r="B113">
        <f>0.35588278*(0.3)</f>
        <v>0.106764834</v>
      </c>
      <c r="C113">
        <f>1.06764834*(0.3)</f>
        <v>0.32029450200000004</v>
      </c>
      <c r="D113">
        <f>0.35588278*(0.3)</f>
        <v>0.106764834</v>
      </c>
      <c r="E113">
        <f>0.35588278*(0.3)</f>
        <v>0.106764834</v>
      </c>
      <c r="F113">
        <f>0.35588278*(0.3)</f>
        <v>0.106764834</v>
      </c>
      <c r="G113">
        <f>0.213529668*(0.3)</f>
        <v>6.4058900399999993E-2</v>
      </c>
      <c r="H113">
        <f>0.35588278*(0.3)</f>
        <v>0.106764834</v>
      </c>
      <c r="I113">
        <f>0.35588278*(0.3)</f>
        <v>0.106764834</v>
      </c>
      <c r="J113">
        <f>-0.071176556*(0.3)</f>
        <v>-2.1352966799999994E-2</v>
      </c>
      <c r="K113">
        <f>0.35588278*(0.3)</f>
        <v>0.106764834</v>
      </c>
      <c r="L113">
        <f>0.1743825622*(0.3)</f>
        <v>5.2314768660000004E-2</v>
      </c>
      <c r="M113">
        <f>0.391471058*(0.3)</f>
        <v>0.11744131740000001</v>
      </c>
      <c r="N113">
        <f>0.35588278*(0.3)</f>
        <v>0.106764834</v>
      </c>
    </row>
    <row r="114" spans="1:14" x14ac:dyDescent="0.25">
      <c r="A114">
        <f>-0.956382778*(0.3)</f>
        <v>-0.28691483340000001</v>
      </c>
      <c r="B114">
        <f>0.073567906*(0.3)</f>
        <v>2.2070371799999999E-2</v>
      </c>
      <c r="C114">
        <f>0.220703718*(0.3)</f>
        <v>6.6211115399999992E-2</v>
      </c>
      <c r="D114">
        <f>0.073567906*(0.3)</f>
        <v>2.2070371799999999E-2</v>
      </c>
      <c r="E114">
        <f>0.073567906*(0.3)</f>
        <v>2.2070371799999999E-2</v>
      </c>
      <c r="F114">
        <f>0.073567906*(0.3)</f>
        <v>2.2070371799999999E-2</v>
      </c>
      <c r="G114">
        <f>0.0441407436*(0.3)</f>
        <v>1.3242223079999999E-2</v>
      </c>
      <c r="H114">
        <f>0.073567906*(0.3)</f>
        <v>2.2070371799999999E-2</v>
      </c>
      <c r="I114">
        <f>0.073567906*(0.3)</f>
        <v>2.2070371799999999E-2</v>
      </c>
      <c r="J114">
        <f>-0.0147135812*(0.3)</f>
        <v>-4.414074359999999E-3</v>
      </c>
      <c r="K114">
        <f>0.073567906*(0.3)</f>
        <v>2.2070371799999999E-2</v>
      </c>
      <c r="L114">
        <f>0.03604827394*(0.3)</f>
        <v>1.0814482182E-2</v>
      </c>
      <c r="M114">
        <f>0.0809246966*(0.3)</f>
        <v>2.4277408980000002E-2</v>
      </c>
      <c r="N114">
        <f>0.073567906*(0.3)</f>
        <v>2.2070371799999999E-2</v>
      </c>
    </row>
    <row r="115" spans="1:14" x14ac:dyDescent="0.25">
      <c r="A115">
        <f>-5.392682219*(0.3)</f>
        <v>-1.6178046657</v>
      </c>
      <c r="B115">
        <f>0.414821709153846*(0.3)</f>
        <v>0.12444651274615384</v>
      </c>
      <c r="C115">
        <f>1.24446512746154*(0.3)</f>
        <v>0.3733395382384615</v>
      </c>
      <c r="D115">
        <f>0.414821709153846*(0.3)</f>
        <v>0.12444651274615384</v>
      </c>
      <c r="E115">
        <f>0.414821709153846*(0.3)</f>
        <v>0.12444651274615384</v>
      </c>
      <c r="F115">
        <f>0.414821709153846*(0.3)</f>
        <v>0.12444651274615384</v>
      </c>
      <c r="G115">
        <f>0.248893025492308*(0.3)</f>
        <v>7.4667907647692308E-2</v>
      </c>
      <c r="H115">
        <f>0.414821709153846*(0.3)</f>
        <v>0.12444651274615384</v>
      </c>
      <c r="I115">
        <f>0.414821709153846*(0.3)</f>
        <v>0.12444651274615384</v>
      </c>
      <c r="J115">
        <f>-0.0829643418307692*(0.3)</f>
        <v>-2.4889302549230764E-2</v>
      </c>
      <c r="K115">
        <f>0.414821709153846*(0.3)</f>
        <v>0.12444651274615384</v>
      </c>
      <c r="L115">
        <f>0.203262637485385*(0.3)</f>
        <v>6.097879124561538E-2</v>
      </c>
      <c r="M115">
        <f>0.456303880069231*(0.3)</f>
        <v>0.13689116402076923</v>
      </c>
      <c r="N115">
        <f>0.414821709153846*(0.3)</f>
        <v>0.12444651274615384</v>
      </c>
    </row>
    <row r="116" spans="1:14" x14ac:dyDescent="0.25">
      <c r="A116">
        <f>2.529443345*(0.3)</f>
        <v>0.75883300349999994</v>
      </c>
      <c r="B116">
        <f>-0.194572565*(0.3)</f>
        <v>-5.837176949999999E-2</v>
      </c>
      <c r="C116">
        <f>-0.583717695*(0.3)</f>
        <v>-0.17511530849999998</v>
      </c>
      <c r="D116">
        <f>-0.194572565*(0.3)</f>
        <v>-5.837176949999999E-2</v>
      </c>
      <c r="E116">
        <f>-0.194572565*(0.3)</f>
        <v>-5.837176949999999E-2</v>
      </c>
      <c r="F116">
        <f>-0.194572565*(0.3)</f>
        <v>-5.837176949999999E-2</v>
      </c>
      <c r="G116">
        <f>-0.116743539*(0.3)</f>
        <v>-3.502306169999999E-2</v>
      </c>
      <c r="H116">
        <f>-0.194572565*(0.3)</f>
        <v>-5.837176949999999E-2</v>
      </c>
      <c r="I116">
        <f>-0.194572565*(0.3)</f>
        <v>-5.837176949999999E-2</v>
      </c>
      <c r="J116">
        <f>0.038914513*(0.3)</f>
        <v>1.1674353899999995E-2</v>
      </c>
      <c r="K116">
        <f>-0.194572565*(0.3)</f>
        <v>-5.837176949999999E-2</v>
      </c>
      <c r="L116">
        <f>-0.09534055685*(0.3)</f>
        <v>-2.8602167054999992E-2</v>
      </c>
      <c r="M116">
        <f>-0.2140298215*(0.3)</f>
        <v>-6.4208946449999998E-2</v>
      </c>
      <c r="N116">
        <f>-0.194572565*(0.3)</f>
        <v>-5.837176949999999E-2</v>
      </c>
    </row>
    <row r="117" spans="1:14" x14ac:dyDescent="0.25">
      <c r="A117">
        <f>-7.501713749*(0.3)</f>
        <v>-2.2505141247</v>
      </c>
      <c r="B117">
        <f>0.577054903769231*(0.3)</f>
        <v>0.17311647113076922</v>
      </c>
      <c r="C117">
        <f>1.73116471130769*(0.3)</f>
        <v>0.51934941339230767</v>
      </c>
      <c r="D117">
        <f>0.577054903769231*(0.3)</f>
        <v>0.17311647113076922</v>
      </c>
      <c r="E117">
        <f>0.577054903769231*(0.3)</f>
        <v>0.17311647113076922</v>
      </c>
      <c r="F117">
        <f>0.577054903769231*(0.3)</f>
        <v>0.17311647113076922</v>
      </c>
      <c r="G117">
        <f>0.346232942261538*(0.3)</f>
        <v>0.10386988267846153</v>
      </c>
      <c r="H117">
        <f>0.577054903769231*(0.3)</f>
        <v>0.17311647113076922</v>
      </c>
      <c r="I117">
        <f>0.577054903769231*(0.3)</f>
        <v>0.17311647113076922</v>
      </c>
      <c r="J117">
        <f>-0.115410980753846*(0.3)</f>
        <v>-3.4623294226153838E-2</v>
      </c>
      <c r="K117">
        <f>0.577054903769231*(0.3)</f>
        <v>0.17311647113076922</v>
      </c>
      <c r="L117">
        <f>0.282756902846923*(0.3)</f>
        <v>8.4827070854076911E-2</v>
      </c>
      <c r="M117">
        <f>0.634760394146154*(0.3)</f>
        <v>0.19042811824384615</v>
      </c>
      <c r="N117">
        <f>0.577054903769231*(0.3)</f>
        <v>0.17311647113076922</v>
      </c>
    </row>
    <row r="118" spans="1:14" x14ac:dyDescent="0.25">
      <c r="A118">
        <f>-1.759730779*(0.3)</f>
        <v>-0.52791923370000005</v>
      </c>
      <c r="B118">
        <f>0.135363906076923*(0.3)</f>
        <v>4.0609171823076926E-2</v>
      </c>
      <c r="C118">
        <f>0.406091718230769*(0.3)</f>
        <v>0.12182751546923078</v>
      </c>
      <c r="D118">
        <f>0.135363906076923*(0.3)</f>
        <v>4.0609171823076926E-2</v>
      </c>
      <c r="E118">
        <f>0.135363906076923*(0.3)</f>
        <v>4.0609171823076926E-2</v>
      </c>
      <c r="F118">
        <f>0.135363906076923*(0.3)</f>
        <v>4.0609171823076926E-2</v>
      </c>
      <c r="G118">
        <f>0.0812183436461539*(0.3)</f>
        <v>2.4365503093846153E-2</v>
      </c>
      <c r="H118">
        <f>0.135363906076923*(0.3)</f>
        <v>4.0609171823076926E-2</v>
      </c>
      <c r="I118">
        <f>0.135363906076923*(0.3)</f>
        <v>4.0609171823076926E-2</v>
      </c>
      <c r="J118">
        <f>-0.0270727812153846*(0.3)</f>
        <v>-8.1218343646153827E-3</v>
      </c>
      <c r="K118">
        <f>0.135363906076923*(0.3)</f>
        <v>4.0609171823076926E-2</v>
      </c>
      <c r="L118">
        <f>0.0663283139776923*(0.3)</f>
        <v>1.9898494193307695E-2</v>
      </c>
      <c r="M118">
        <f>0.148900296684615*(0.3)</f>
        <v>4.4670089005384619E-2</v>
      </c>
      <c r="N118">
        <f>0.135363906076923*(0.3)</f>
        <v>4.0609171823076926E-2</v>
      </c>
    </row>
    <row r="119" spans="1:14" x14ac:dyDescent="0.25">
      <c r="A119">
        <f>-15.15645723*(0.3)</f>
        <v>-4.5469371689999996</v>
      </c>
      <c r="B119">
        <f>1.16588132538462*(0.3)</f>
        <v>0.34976439761538464</v>
      </c>
      <c r="C119">
        <f>3.49764397615385*(0.3)</f>
        <v>1.0492931928461537</v>
      </c>
      <c r="D119">
        <f>1.16588132538462*(0.3)</f>
        <v>0.34976439761538464</v>
      </c>
      <c r="E119">
        <f>1.16588132538462*(0.3)</f>
        <v>0.34976439761538464</v>
      </c>
      <c r="F119">
        <f>1.16588132538462*(0.3)</f>
        <v>0.34976439761538464</v>
      </c>
      <c r="G119">
        <f>0.699528795230769*(0.3)</f>
        <v>0.20985863856923079</v>
      </c>
      <c r="H119">
        <f>1.16588132538462*(0.3)</f>
        <v>0.34976439761538464</v>
      </c>
      <c r="I119">
        <f>1.16588132538462*(0.3)</f>
        <v>0.34976439761538464</v>
      </c>
      <c r="J119">
        <f>-0.233176265076923*(0.3)</f>
        <v>-6.9952879523076911E-2</v>
      </c>
      <c r="K119">
        <f>1.16588132538462*(0.3)</f>
        <v>0.34976439761538464</v>
      </c>
      <c r="L119">
        <f>0.571281849438461*(0.3)</f>
        <v>0.17138455483153844</v>
      </c>
      <c r="M119">
        <f>1.28246945792308*(0.3)</f>
        <v>0.38474083737692311</v>
      </c>
      <c r="N119">
        <f>1.16588132538462*(0.3)</f>
        <v>0.34976439761538464</v>
      </c>
    </row>
    <row r="120" spans="1:14" x14ac:dyDescent="0.25">
      <c r="A120">
        <f>-0.726096229*(0.3)</f>
        <v>-0.21782886870000001</v>
      </c>
      <c r="B120">
        <f>0.0558535560769231*(0.3)</f>
        <v>1.6756066823076923E-2</v>
      </c>
      <c r="C120">
        <f>0.167560668230769*(0.3)</f>
        <v>5.0268200469230771E-2</v>
      </c>
      <c r="D120">
        <f>0.0558535560769231*(0.3)</f>
        <v>1.6756066823076923E-2</v>
      </c>
      <c r="E120">
        <f>0.0558535560769231*(0.3)</f>
        <v>1.6756066823076923E-2</v>
      </c>
      <c r="F120">
        <f>0.0558535560769231*(0.3)</f>
        <v>1.6756066823076923E-2</v>
      </c>
      <c r="G120">
        <f>0.0335121336461538*(0.3)</f>
        <v>1.0053640093846154E-2</v>
      </c>
      <c r="H120">
        <f>0.0558535560769231*(0.3)</f>
        <v>1.6756066823076923E-2</v>
      </c>
      <c r="I120">
        <f>0.0558535560769231*(0.3)</f>
        <v>1.6756066823076923E-2</v>
      </c>
      <c r="J120">
        <f>-0.0111707112153846*(0.3)</f>
        <v>-3.3512133646153839E-3</v>
      </c>
      <c r="K120">
        <f>0.0558535560769231*(0.3)</f>
        <v>1.6756066823076923E-2</v>
      </c>
      <c r="L120">
        <f>0.0273682424776923*(0.3)</f>
        <v>8.2104727433076913E-3</v>
      </c>
      <c r="M120">
        <f>0.0614389116846154*(0.3)</f>
        <v>1.8431673505384615E-2</v>
      </c>
      <c r="N120">
        <f>0.0558535560769231*(0.3)</f>
        <v>1.6756066823076923E-2</v>
      </c>
    </row>
    <row r="121" spans="1:14" x14ac:dyDescent="0.25">
      <c r="A121">
        <f>-12.9354257*(0.3)</f>
        <v>-3.8806277099999997</v>
      </c>
      <c r="B121">
        <f>0.995032746153846*(0.3)</f>
        <v>0.29850982384615382</v>
      </c>
      <c r="C121">
        <f>2.98509823846154*(0.3)</f>
        <v>0.89552947153846152</v>
      </c>
      <c r="D121">
        <f>0.995032746153846*(0.3)</f>
        <v>0.29850982384615382</v>
      </c>
      <c r="E121">
        <f>0.995032746153846*(0.3)</f>
        <v>0.29850982384615382</v>
      </c>
      <c r="F121">
        <f>0.995032746153846*(0.3)</f>
        <v>0.29850982384615382</v>
      </c>
      <c r="G121">
        <f>0.597019647692308*(0.3)</f>
        <v>0.17910589430769228</v>
      </c>
      <c r="H121">
        <f>0.995032746153846*(0.3)</f>
        <v>0.29850982384615382</v>
      </c>
      <c r="I121">
        <f>0.995032746153846*(0.3)</f>
        <v>0.29850982384615382</v>
      </c>
      <c r="J121">
        <f>-0.199006549230769*(0.3)</f>
        <v>-5.9701964769230752E-2</v>
      </c>
      <c r="K121">
        <f>0.995032746153846*(0.3)</f>
        <v>0.29850982384615382</v>
      </c>
      <c r="L121">
        <f>0.487566045615385*(0.3)</f>
        <v>0.14626981368461539</v>
      </c>
      <c r="M121">
        <f>1.09453602076923*(0.3)</f>
        <v>0.3283608062307693</v>
      </c>
      <c r="N121">
        <f>0.995032746153846*(0.3)</f>
        <v>0.29850982384615382</v>
      </c>
    </row>
    <row r="122" spans="1:14" x14ac:dyDescent="0.25">
      <c r="A122">
        <f>-0.418592536*(0.3)</f>
        <v>-0.12557776079999999</v>
      </c>
      <c r="B122">
        <f>0.0321994258461538*(0.3)</f>
        <v>9.6598277538461532E-3</v>
      </c>
      <c r="C122">
        <f>0.0965982775384615*(0.3)</f>
        <v>2.8979483261538458E-2</v>
      </c>
      <c r="D122">
        <f>0.0321994258461538*(0.3)</f>
        <v>9.6598277538461532E-3</v>
      </c>
      <c r="E122">
        <f>0.0321994258461538*(0.3)</f>
        <v>9.6598277538461532E-3</v>
      </c>
      <c r="F122">
        <f>0.0321994258461538*(0.3)</f>
        <v>9.6598277538461532E-3</v>
      </c>
      <c r="G122">
        <f>0.0193196555076923*(0.3)</f>
        <v>5.7958966523076914E-3</v>
      </c>
      <c r="H122">
        <f>0.0321994258461538*(0.3)</f>
        <v>9.6598277538461532E-3</v>
      </c>
      <c r="I122">
        <f>0.0321994258461538*(0.3)</f>
        <v>9.6598277538461532E-3</v>
      </c>
      <c r="J122">
        <f>-0.00643988516923077*(0.3)</f>
        <v>-1.9319655507692303E-3</v>
      </c>
      <c r="K122">
        <f>0.0321994258461538*(0.3)</f>
        <v>9.6598277538461532E-3</v>
      </c>
      <c r="L122">
        <f>0.0157777186646154*(0.3)</f>
        <v>4.7333155993846149E-3</v>
      </c>
      <c r="M122">
        <f>0.0354193684307692*(0.3)</f>
        <v>1.062581052923077E-2</v>
      </c>
      <c r="N122">
        <f>0.0321994258461538*(0.3)</f>
        <v>9.6598277538461532E-3</v>
      </c>
    </row>
    <row r="123" spans="1:14" x14ac:dyDescent="0.25">
      <c r="A123">
        <f>-16.24784135*(0.3)</f>
        <v>-4.8743524050000007</v>
      </c>
      <c r="B123">
        <f>1.24983395*(0.3)</f>
        <v>0.37495018500000005</v>
      </c>
      <c r="C123">
        <f>3.74950185*(0.3)</f>
        <v>1.1248505550000001</v>
      </c>
      <c r="D123">
        <f>1.24983395*(0.3)</f>
        <v>0.37495018500000005</v>
      </c>
      <c r="E123">
        <f>1.24983395*(0.3)</f>
        <v>0.37495018500000005</v>
      </c>
      <c r="F123">
        <f>1.24983395*(0.3)</f>
        <v>0.37495018500000005</v>
      </c>
      <c r="G123">
        <f>0.74990037*(0.3)</f>
        <v>0.22497011100000003</v>
      </c>
      <c r="H123">
        <f>1.24983395*(0.3)</f>
        <v>0.37495018500000005</v>
      </c>
      <c r="I123">
        <f>1.24983395*(0.3)</f>
        <v>0.37495018500000005</v>
      </c>
      <c r="J123">
        <f>-0.24996679*(0.3)</f>
        <v>-7.4990036999999996E-2</v>
      </c>
      <c r="K123">
        <f>1.24983395*(0.3)</f>
        <v>0.37495018500000005</v>
      </c>
      <c r="L123">
        <f>0.6124186355*(0.3)</f>
        <v>0.18372559065000002</v>
      </c>
      <c r="M123">
        <f>1.374817345*(0.3)</f>
        <v>0.41244520350000008</v>
      </c>
      <c r="N123">
        <f>1.24983395*(0.3)</f>
        <v>0.37495018500000005</v>
      </c>
    </row>
    <row r="124" spans="1:14" x14ac:dyDescent="0.25">
      <c r="A124">
        <f>1.614198429*(0.3)</f>
        <v>0.4842595287</v>
      </c>
      <c r="B124">
        <f>-0.124169109923077*(0.3)</f>
        <v>-3.7250732976923072E-2</v>
      </c>
      <c r="C124">
        <f>-0.372507329769231*(0.3)</f>
        <v>-0.11175219893076922</v>
      </c>
      <c r="D124">
        <f>-0.124169109923077*(0.3)</f>
        <v>-3.7250732976923072E-2</v>
      </c>
      <c r="E124">
        <f>-0.124169109923077*(0.3)</f>
        <v>-3.7250732976923072E-2</v>
      </c>
      <c r="F124">
        <f>-0.124169109923077*(0.3)</f>
        <v>-3.7250732976923072E-2</v>
      </c>
      <c r="G124">
        <f>-0.0745014659538461*(0.3)</f>
        <v>-2.2350439786153843E-2</v>
      </c>
      <c r="H124">
        <f>-0.124169109923077*(0.3)</f>
        <v>-3.7250732976923072E-2</v>
      </c>
      <c r="I124">
        <f>-0.124169109923077*(0.3)</f>
        <v>-3.7250732976923072E-2</v>
      </c>
      <c r="J124">
        <f>0.0248338219846154*(0.3)</f>
        <v>7.4501465953846126E-3</v>
      </c>
      <c r="K124">
        <f>-0.124169109923077*(0.3)</f>
        <v>-3.7250732976923072E-2</v>
      </c>
      <c r="L124">
        <f>-0.0608428638623077*(0.3)</f>
        <v>-1.8252859158692306E-2</v>
      </c>
      <c r="M124">
        <f>-0.136586020915385*(0.3)</f>
        <v>-4.0975806274615389E-2</v>
      </c>
      <c r="N124">
        <f>-0.124169109923077*(0.3)</f>
        <v>-3.7250732976923072E-2</v>
      </c>
    </row>
    <row r="125" spans="1:14" x14ac:dyDescent="0.25">
      <c r="A125">
        <f>-18.10974838*(0.3)</f>
        <v>-5.4329245139999998</v>
      </c>
      <c r="B125">
        <f>1.39305756769231*(0.3)</f>
        <v>0.41791727030769227</v>
      </c>
      <c r="C125">
        <f>4.17917270307692*(0.3)</f>
        <v>1.2537518109230767</v>
      </c>
      <c r="D125">
        <f>1.39305756769231*(0.3)</f>
        <v>0.41791727030769227</v>
      </c>
      <c r="E125">
        <f>1.39305756769231*(0.3)</f>
        <v>0.41791727030769227</v>
      </c>
      <c r="F125">
        <f>1.39305756769231*(0.3)</f>
        <v>0.41791727030769227</v>
      </c>
      <c r="G125">
        <f>0.835834540615385*(0.3)</f>
        <v>0.25075036218461533</v>
      </c>
      <c r="H125">
        <f>1.39305756769231*(0.3)</f>
        <v>0.41791727030769227</v>
      </c>
      <c r="I125">
        <f>1.39305756769231*(0.3)</f>
        <v>0.41791727030769227</v>
      </c>
      <c r="J125">
        <f>-0.278611513538461*(0.3)</f>
        <v>-8.3583454061538442E-2</v>
      </c>
      <c r="K125">
        <f>1.39305756769231*(0.3)</f>
        <v>0.41791727030769227</v>
      </c>
      <c r="L125">
        <f>0.682598208169231*(0.3)</f>
        <v>0.2047794624507692</v>
      </c>
      <c r="M125">
        <f>1.53236332446154*(0.3)</f>
        <v>0.45970899733846149</v>
      </c>
      <c r="N125">
        <f>1.39305756769231*(0.3)</f>
        <v>0.41791727030769227</v>
      </c>
    </row>
    <row r="126" spans="1:14" x14ac:dyDescent="0.25">
      <c r="A126">
        <f>-2.852733935*(0.3)</f>
        <v>-0.85582018049999997</v>
      </c>
      <c r="B126">
        <f>0.219441071923077*(0.3)</f>
        <v>6.5832321576923064E-2</v>
      </c>
      <c r="C126">
        <f>0.658323215769231*(0.3)</f>
        <v>0.19749696473076919</v>
      </c>
      <c r="D126">
        <f>0.219441071923077*(0.3)</f>
        <v>6.5832321576923064E-2</v>
      </c>
      <c r="E126">
        <f>0.219441071923077*(0.3)</f>
        <v>6.5832321576923064E-2</v>
      </c>
      <c r="F126">
        <f>0.219441071923077*(0.3)</f>
        <v>6.5832321576923064E-2</v>
      </c>
      <c r="G126">
        <f>0.131664643153846*(0.3)</f>
        <v>3.9499392946153837E-2</v>
      </c>
      <c r="H126">
        <f>0.219441071923077*(0.3)</f>
        <v>6.5832321576923064E-2</v>
      </c>
      <c r="I126">
        <f>0.219441071923077*(0.3)</f>
        <v>6.5832321576923064E-2</v>
      </c>
      <c r="J126">
        <f>-0.0438882143846154*(0.3)</f>
        <v>-1.316646431538461E-2</v>
      </c>
      <c r="K126">
        <f>0.219441071923077*(0.3)</f>
        <v>6.5832321576923064E-2</v>
      </c>
      <c r="L126">
        <f>0.107526125242308*(0.3)</f>
        <v>3.2257837572692308E-2</v>
      </c>
      <c r="M126">
        <f>0.241385179115385*(0.3)</f>
        <v>7.241555373461539E-2</v>
      </c>
      <c r="N126">
        <f>0.219441071923077*(0.3)</f>
        <v>6.5832321576923064E-2</v>
      </c>
    </row>
    <row r="127" spans="1:14" x14ac:dyDescent="0.25">
      <c r="A127">
        <f>-22.20412965*(0.3)</f>
        <v>-6.6612388949999994</v>
      </c>
      <c r="B127">
        <f>1.70800997307692*(0.3)</f>
        <v>0.51240299192307681</v>
      </c>
      <c r="C127">
        <f>5.12402991923077*(0.3)</f>
        <v>1.5372089757692307</v>
      </c>
      <c r="D127">
        <f>1.70800997307692*(0.3)</f>
        <v>0.51240299192307681</v>
      </c>
      <c r="E127">
        <f>1.70800997307692*(0.3)</f>
        <v>0.51240299192307681</v>
      </c>
      <c r="F127">
        <f>1.70800997307692*(0.3)</f>
        <v>0.51240299192307681</v>
      </c>
      <c r="G127">
        <f>1.02480598384615*(0.3)</f>
        <v>0.30744179515384606</v>
      </c>
      <c r="H127">
        <f>1.70800997307692*(0.3)</f>
        <v>0.51240299192307681</v>
      </c>
      <c r="I127">
        <f>1.70800997307692*(0.3)</f>
        <v>0.51240299192307681</v>
      </c>
      <c r="J127">
        <f>-0.341601994615384*(0.3)</f>
        <v>-0.10248059838461535</v>
      </c>
      <c r="K127">
        <f>1.70800997307692*(0.3)</f>
        <v>0.51240299192307681</v>
      </c>
      <c r="L127">
        <f>0.836924886807692*(0.3)</f>
        <v>0.25107746604230763</v>
      </c>
      <c r="M127">
        <f>1.87881097038462*(0.3)</f>
        <v>0.56364329111538458</v>
      </c>
      <c r="N127">
        <f>1.70800997307692*(0.3)</f>
        <v>0.51240299192307681</v>
      </c>
    </row>
    <row r="128" spans="1:14" x14ac:dyDescent="0.25">
      <c r="A128">
        <f>-0.555835693*(0.3)</f>
        <v>-0.16675070789999999</v>
      </c>
      <c r="B128">
        <f>0.0427565917692308*(0.3)</f>
        <v>1.2826977530769232E-2</v>
      </c>
      <c r="C128">
        <f>0.128269775307692*(0.3)</f>
        <v>3.8480932592307691E-2</v>
      </c>
      <c r="D128">
        <f>0.0427565917692308*(0.3)</f>
        <v>1.2826977530769232E-2</v>
      </c>
      <c r="E128">
        <f>0.0427565917692308*(0.3)</f>
        <v>1.2826977530769232E-2</v>
      </c>
      <c r="F128">
        <f>0.0427565917692308*(0.3)</f>
        <v>1.2826977530769232E-2</v>
      </c>
      <c r="G128">
        <f>0.0256539550615385*(0.3)</f>
        <v>7.6961865184615392E-3</v>
      </c>
      <c r="H128">
        <f>0.0427565917692308*(0.3)</f>
        <v>1.2826977530769232E-2</v>
      </c>
      <c r="I128">
        <f>0.0427565917692308*(0.3)</f>
        <v>1.2826977530769232E-2</v>
      </c>
      <c r="J128">
        <f>-0.00855131835384615*(0.3)</f>
        <v>-2.5653955061538457E-3</v>
      </c>
      <c r="K128">
        <f>0.0427565917692308*(0.3)</f>
        <v>1.2826977530769232E-2</v>
      </c>
      <c r="L128">
        <f>0.0209507299669231*(0.3)</f>
        <v>6.2852189900769228E-3</v>
      </c>
      <c r="M128">
        <f>0.0470322509461539*(0.3)</f>
        <v>1.4109675283846155E-2</v>
      </c>
      <c r="N128">
        <f>0.0427565917692308*(0.3)</f>
        <v>1.2826977530769232E-2</v>
      </c>
    </row>
    <row r="129" spans="1:14" x14ac:dyDescent="0.25">
      <c r="A129">
        <f>-2.109645936*(0.3)</f>
        <v>-0.63289378080000003</v>
      </c>
      <c r="B129">
        <f>0.162280456615385*(0.3)</f>
        <v>4.8684136984615385E-2</v>
      </c>
      <c r="C129">
        <f>0.486841369846154*(0.3)</f>
        <v>0.14605241095384616</v>
      </c>
      <c r="D129">
        <f>0.162280456615385*(0.3)</f>
        <v>4.8684136984615385E-2</v>
      </c>
      <c r="E129">
        <f>0.162280456615385*(0.3)</f>
        <v>4.8684136984615385E-2</v>
      </c>
      <c r="F129">
        <f>0.162280456615385*(0.3)</f>
        <v>4.8684136984615385E-2</v>
      </c>
      <c r="G129">
        <f>0.0973682739692308*(0.3)</f>
        <v>2.921048219076923E-2</v>
      </c>
      <c r="H129">
        <f>0.162280456615385*(0.3)</f>
        <v>4.8684136984615385E-2</v>
      </c>
      <c r="I129">
        <f>0.162280456615385*(0.3)</f>
        <v>4.8684136984615385E-2</v>
      </c>
      <c r="J129">
        <f>-0.0324560913230769*(0.3)</f>
        <v>-9.736827396923076E-3</v>
      </c>
      <c r="K129">
        <f>0.162280456615385*(0.3)</f>
        <v>4.8684136984615385E-2</v>
      </c>
      <c r="L129">
        <f>0.0795174237415385*(0.3)</f>
        <v>2.3855227122461537E-2</v>
      </c>
      <c r="M129">
        <f>0.178508502276923*(0.3)</f>
        <v>5.3552550683076933E-2</v>
      </c>
      <c r="N129">
        <f>0.162280456615385*(0.3)</f>
        <v>4.8684136984615385E-2</v>
      </c>
    </row>
    <row r="130" spans="1:14" x14ac:dyDescent="0.25">
      <c r="A130">
        <f>1.33260594*(0.3)</f>
        <v>0.39978178200000003</v>
      </c>
      <c r="B130">
        <f>-0.102508149230769*(0.3)</f>
        <v>-3.0752444769230773E-2</v>
      </c>
      <c r="C130">
        <f>-0.307524447692308*(0.3)</f>
        <v>-9.2257334307692326E-2</v>
      </c>
      <c r="D130">
        <f>-0.102508149230769*(0.3)</f>
        <v>-3.0752444769230773E-2</v>
      </c>
      <c r="E130">
        <f>-0.102508149230769*(0.3)</f>
        <v>-3.0752444769230773E-2</v>
      </c>
      <c r="F130">
        <f>-0.102508149230769*(0.3)</f>
        <v>-3.0752444769230773E-2</v>
      </c>
      <c r="G130">
        <f>-0.0615048895384615*(0.3)</f>
        <v>-1.8451466861538462E-2</v>
      </c>
      <c r="H130">
        <f>-0.102508149230769*(0.3)</f>
        <v>-3.0752444769230773E-2</v>
      </c>
      <c r="I130">
        <f>-0.102508149230769*(0.3)</f>
        <v>-3.0752444769230773E-2</v>
      </c>
      <c r="J130">
        <f>0.0205016298461538*(0.3)</f>
        <v>6.1504889538461531E-3</v>
      </c>
      <c r="K130">
        <f>-0.102508149230769*(0.3)</f>
        <v>-3.0752444769230773E-2</v>
      </c>
      <c r="L130">
        <f>-0.0502289931230769*(0.3)</f>
        <v>-1.5068697936923078E-2</v>
      </c>
      <c r="M130">
        <f>-0.112758964153846*(0.3)</f>
        <v>-3.3827689246153848E-2</v>
      </c>
      <c r="N130">
        <f>-0.102508149230769*(0.3)</f>
        <v>-3.0752444769230773E-2</v>
      </c>
    </row>
    <row r="131" spans="1:14" x14ac:dyDescent="0.25">
      <c r="A131">
        <f>-2.882236211*(0.3)</f>
        <v>-0.86467086329999998</v>
      </c>
      <c r="B131">
        <f>0.221710477769231*(0.3)</f>
        <v>6.6513143330769228E-2</v>
      </c>
      <c r="C131">
        <f>0.665131433307692*(0.3)</f>
        <v>0.1995394299923077</v>
      </c>
      <c r="D131">
        <f>0.221710477769231*(0.3)</f>
        <v>6.6513143330769228E-2</v>
      </c>
      <c r="E131">
        <f>0.221710477769231*(0.3)</f>
        <v>6.6513143330769228E-2</v>
      </c>
      <c r="F131">
        <f>0.221710477769231*(0.3)</f>
        <v>6.6513143330769228E-2</v>
      </c>
      <c r="G131">
        <f>0.133026286661538*(0.3)</f>
        <v>3.9907885998461533E-2</v>
      </c>
      <c r="H131">
        <f>0.221710477769231*(0.3)</f>
        <v>6.6513143330769228E-2</v>
      </c>
      <c r="I131">
        <f>0.221710477769231*(0.3)</f>
        <v>6.6513143330769228E-2</v>
      </c>
      <c r="J131">
        <f>-0.0443420955538461*(0.3)</f>
        <v>-1.3302628666153843E-2</v>
      </c>
      <c r="K131">
        <f>0.221710477769231*(0.3)</f>
        <v>6.6513143330769228E-2</v>
      </c>
      <c r="L131">
        <f>0.108638134106923*(0.3)</f>
        <v>3.2591440232076919E-2</v>
      </c>
      <c r="M131">
        <f>0.243881525546154*(0.3)</f>
        <v>7.3164457663846161E-2</v>
      </c>
      <c r="N131">
        <f>0.221710477769231*(0.3)</f>
        <v>6.6513143330769228E-2</v>
      </c>
    </row>
    <row r="132" spans="1:14" x14ac:dyDescent="0.25">
      <c r="A132">
        <f>-0.778505096*(0.3)</f>
        <v>-0.23355152879999996</v>
      </c>
      <c r="B132">
        <f>0.0598850073846154*(0.3)</f>
        <v>1.7965502215384614E-2</v>
      </c>
      <c r="C132">
        <f>0.179655022153846*(0.3)</f>
        <v>5.3896506646153836E-2</v>
      </c>
      <c r="D132">
        <f>0.0598850073846154*(0.3)</f>
        <v>1.7965502215384614E-2</v>
      </c>
      <c r="E132">
        <f>0.0598850073846154*(0.3)</f>
        <v>1.7965502215384614E-2</v>
      </c>
      <c r="F132">
        <f>0.0598850073846154*(0.3)</f>
        <v>1.7965502215384614E-2</v>
      </c>
      <c r="G132">
        <f>0.0359310044307692*(0.3)</f>
        <v>1.0779301329230767E-2</v>
      </c>
      <c r="H132">
        <f>0.0598850073846154*(0.3)</f>
        <v>1.7965502215384614E-2</v>
      </c>
      <c r="I132">
        <f>0.0598850073846154*(0.3)</f>
        <v>1.7965502215384614E-2</v>
      </c>
      <c r="J132">
        <f>-0.0119770014769231*(0.3)</f>
        <v>-3.5931004430769216E-3</v>
      </c>
      <c r="K132">
        <f>0.0598850073846154*(0.3)</f>
        <v>1.7965502215384614E-2</v>
      </c>
      <c r="L132">
        <f>0.0293436536184615*(0.3)</f>
        <v>8.8030960855384598E-3</v>
      </c>
      <c r="M132">
        <f>0.0658735081230769*(0.3)</f>
        <v>1.9762052436923076E-2</v>
      </c>
      <c r="N132">
        <f>0.0598850073846154*(0.3)</f>
        <v>1.7965502215384614E-2</v>
      </c>
    </row>
    <row r="133" spans="1:14" x14ac:dyDescent="0.25">
      <c r="A133">
        <f>-6.56878553*(0.3)</f>
        <v>-1.970635659</v>
      </c>
      <c r="B133">
        <f>0.505291194615385*(0.3)</f>
        <v>0.15158735838461537</v>
      </c>
      <c r="C133">
        <f>1.51587358384615*(0.3)</f>
        <v>0.45476207515384615</v>
      </c>
      <c r="D133">
        <f>0.505291194615385*(0.3)</f>
        <v>0.15158735838461537</v>
      </c>
      <c r="E133">
        <f>0.505291194615385*(0.3)</f>
        <v>0.15158735838461537</v>
      </c>
      <c r="F133">
        <f>0.505291194615385*(0.3)</f>
        <v>0.15158735838461537</v>
      </c>
      <c r="G133">
        <f>0.303174716769231*(0.3)</f>
        <v>9.0952415030769215E-2</v>
      </c>
      <c r="H133">
        <f>0.505291194615385*(0.3)</f>
        <v>0.15158735838461537</v>
      </c>
      <c r="I133">
        <f>0.505291194615385*(0.3)</f>
        <v>0.15158735838461537</v>
      </c>
      <c r="J133">
        <f>-0.101058238923077*(0.3)</f>
        <v>-3.0317471676923068E-2</v>
      </c>
      <c r="K133">
        <f>0.505291194615385*(0.3)</f>
        <v>0.15158735838461537</v>
      </c>
      <c r="L133">
        <f>0.247592685361538*(0.3)</f>
        <v>7.4277805608461533E-2</v>
      </c>
      <c r="M133">
        <f>0.555820314076923*(0.3)</f>
        <v>0.16674609422307693</v>
      </c>
      <c r="N133">
        <f>0.505291194615385*(0.3)</f>
        <v>0.15158735838461537</v>
      </c>
    </row>
    <row r="134" spans="1:14" x14ac:dyDescent="0.25">
      <c r="A134">
        <f>-0.323653738*(0.3)</f>
        <v>-9.7096121399999999E-2</v>
      </c>
      <c r="B134">
        <f>0.0248964413846154*(0.3)</f>
        <v>7.4689324153846158E-3</v>
      </c>
      <c r="C134">
        <f>0.0746893241538462*(0.3)</f>
        <v>2.2406797246153846E-2</v>
      </c>
      <c r="D134">
        <f>0.0248964413846154*(0.3)</f>
        <v>7.4689324153846158E-3</v>
      </c>
      <c r="E134">
        <f>0.0248964413846154*(0.3)</f>
        <v>7.4689324153846158E-3</v>
      </c>
      <c r="F134">
        <f>0.0248964413846154*(0.3)</f>
        <v>7.4689324153846158E-3</v>
      </c>
      <c r="G134">
        <f>0.0149378648307692*(0.3)</f>
        <v>4.4813594492307696E-3</v>
      </c>
      <c r="H134">
        <f>0.0248964413846154*(0.3)</f>
        <v>7.4689324153846158E-3</v>
      </c>
      <c r="I134">
        <f>0.0248964413846154*(0.3)</f>
        <v>7.4689324153846158E-3</v>
      </c>
      <c r="J134">
        <f>-0.00497928827692308*(0.3)</f>
        <v>-1.4937864830769229E-3</v>
      </c>
      <c r="K134">
        <f>0.0248964413846154*(0.3)</f>
        <v>7.4689324153846158E-3</v>
      </c>
      <c r="L134">
        <f>0.0121992562784615*(0.3)</f>
        <v>3.6597768835384616E-3</v>
      </c>
      <c r="M134">
        <f>0.0273860855230769*(0.3)</f>
        <v>8.215825656923078E-3</v>
      </c>
      <c r="N134">
        <f>0.0248964413846154*(0.3)</f>
        <v>7.4689324153846158E-3</v>
      </c>
    </row>
    <row r="135" spans="1:14" x14ac:dyDescent="0.25">
      <c r="A135">
        <f>-2.46757497*(0.3)</f>
        <v>-0.74027249099999992</v>
      </c>
      <c r="B135">
        <f>0.189813459230769*(0.3)</f>
        <v>5.6944037769230765E-2</v>
      </c>
      <c r="C135">
        <f>0.569440377692308*(0.3)</f>
        <v>0.1708321133076923</v>
      </c>
      <c r="D135">
        <f>0.189813459230769*(0.3)</f>
        <v>5.6944037769230765E-2</v>
      </c>
      <c r="E135">
        <f>0.189813459230769*(0.3)</f>
        <v>5.6944037769230765E-2</v>
      </c>
      <c r="F135">
        <f>0.189813459230769*(0.3)</f>
        <v>5.6944037769230765E-2</v>
      </c>
      <c r="G135">
        <f>0.113888075538462*(0.3)</f>
        <v>3.4166422661538458E-2</v>
      </c>
      <c r="H135">
        <f>0.189813459230769*(0.3)</f>
        <v>5.6944037769230765E-2</v>
      </c>
      <c r="I135">
        <f>0.189813459230769*(0.3)</f>
        <v>5.6944037769230765E-2</v>
      </c>
      <c r="J135">
        <f>-0.0379626918461538*(0.3)</f>
        <v>-1.138880755384615E-2</v>
      </c>
      <c r="K135">
        <f>0.189813459230769*(0.3)</f>
        <v>5.6944037769230765E-2</v>
      </c>
      <c r="L135">
        <f>0.0930085950230769*(0.3)</f>
        <v>2.7902578506923074E-2</v>
      </c>
      <c r="M135">
        <f>0.208794805153846*(0.3)</f>
        <v>6.2638441546153847E-2</v>
      </c>
      <c r="N135">
        <f>0.189813459230769*(0.3)</f>
        <v>5.6944037769230765E-2</v>
      </c>
    </row>
    <row r="136" spans="1:14" x14ac:dyDescent="0.25">
      <c r="A136">
        <f>-1.51927255*(0.3)</f>
        <v>-0.45578176499999995</v>
      </c>
      <c r="B136">
        <f>0.116867119230769*(0.3)</f>
        <v>3.5060135769230769E-2</v>
      </c>
      <c r="C136">
        <f>0.350601357692308*(0.3)</f>
        <v>0.10518040730769231</v>
      </c>
      <c r="D136">
        <f>0.116867119230769*(0.3)</f>
        <v>3.5060135769230769E-2</v>
      </c>
      <c r="E136">
        <f>0.116867119230769*(0.3)</f>
        <v>3.5060135769230769E-2</v>
      </c>
      <c r="F136">
        <f>0.116867119230769*(0.3)</f>
        <v>3.5060135769230769E-2</v>
      </c>
      <c r="G136">
        <f>0.0701202715384615*(0.3)</f>
        <v>2.1036081461538462E-2</v>
      </c>
      <c r="H136">
        <f>0.116867119230769*(0.3)</f>
        <v>3.5060135769230769E-2</v>
      </c>
      <c r="I136">
        <f>0.116867119230769*(0.3)</f>
        <v>3.5060135769230769E-2</v>
      </c>
      <c r="J136">
        <f>-0.0233734238461538*(0.3)</f>
        <v>-7.0120271538461525E-3</v>
      </c>
      <c r="K136">
        <f>0.116867119230769*(0.3)</f>
        <v>3.5060135769230769E-2</v>
      </c>
      <c r="L136">
        <f>0.0572648884230769*(0.3)</f>
        <v>1.7179466526923075E-2</v>
      </c>
      <c r="M136">
        <f>0.128553831153846*(0.3)</f>
        <v>3.856614934615385E-2</v>
      </c>
      <c r="N136">
        <f>0.116867119230769*(0.3)</f>
        <v>3.5060135769230769E-2</v>
      </c>
    </row>
    <row r="137" spans="1:14" x14ac:dyDescent="0.25">
      <c r="A137">
        <f>-6.30118189*(0.3)</f>
        <v>-1.8903545669999997</v>
      </c>
      <c r="B137">
        <f>0.484706299230769*(0.3)</f>
        <v>0.14541188976923075</v>
      </c>
      <c r="C137">
        <f>1.45411889769231*(0.3)</f>
        <v>0.43623566930769225</v>
      </c>
      <c r="D137">
        <f>0.484706299230769*(0.3)</f>
        <v>0.14541188976923075</v>
      </c>
      <c r="E137">
        <f>0.484706299230769*(0.3)</f>
        <v>0.14541188976923075</v>
      </c>
      <c r="F137">
        <f>0.484706299230769*(0.3)</f>
        <v>0.14541188976923075</v>
      </c>
      <c r="G137">
        <f>0.290823779538462*(0.3)</f>
        <v>8.7247133861538442E-2</v>
      </c>
      <c r="H137">
        <f>0.484706299230769*(0.3)</f>
        <v>0.14541188976923075</v>
      </c>
      <c r="I137">
        <f>0.484706299230769*(0.3)</f>
        <v>0.14541188976923075</v>
      </c>
      <c r="J137">
        <f>-0.0969412598461538*(0.3)</f>
        <v>-2.9082377953846144E-2</v>
      </c>
      <c r="K137">
        <f>0.484706299230769*(0.3)</f>
        <v>0.14541188976923075</v>
      </c>
      <c r="L137">
        <f>0.237506086623077*(0.3)</f>
        <v>7.1251825986923062E-2</v>
      </c>
      <c r="M137">
        <f>0.533176929153846*(0.3)</f>
        <v>0.15995307874615386</v>
      </c>
      <c r="N137">
        <f>0.484706299230769*(0.3)</f>
        <v>0.14541188976923075</v>
      </c>
    </row>
    <row r="138" spans="1:14" x14ac:dyDescent="0.25">
      <c r="A138">
        <f>-2.28673008*(0.3)</f>
        <v>-0.68601902399999992</v>
      </c>
      <c r="B138">
        <f>0.175902313846154*(0.3)</f>
        <v>5.2770694153846151E-2</v>
      </c>
      <c r="C138">
        <f>0.527706941538462*(0.3)</f>
        <v>0.15831208246153847</v>
      </c>
      <c r="D138">
        <f>0.175902313846154*(0.3)</f>
        <v>5.2770694153846151E-2</v>
      </c>
      <c r="E138">
        <f>0.175902313846154*(0.3)</f>
        <v>5.2770694153846151E-2</v>
      </c>
      <c r="F138">
        <f>0.175902313846154*(0.3)</f>
        <v>5.2770694153846151E-2</v>
      </c>
      <c r="G138">
        <f>0.105541388307692*(0.3)</f>
        <v>3.1662416492307686E-2</v>
      </c>
      <c r="H138">
        <f>0.175902313846154*(0.3)</f>
        <v>5.2770694153846151E-2</v>
      </c>
      <c r="I138">
        <f>0.175902313846154*(0.3)</f>
        <v>5.2770694153846151E-2</v>
      </c>
      <c r="J138">
        <f>-0.0351804627692308*(0.3)</f>
        <v>-1.0554138830769227E-2</v>
      </c>
      <c r="K138">
        <f>0.175902313846154*(0.3)</f>
        <v>5.2770694153846151E-2</v>
      </c>
      <c r="L138">
        <f>0.0861921337846154*(0.3)</f>
        <v>2.5857640135384611E-2</v>
      </c>
      <c r="M138">
        <f>0.193492545230769*(0.3)</f>
        <v>5.8047763569230776E-2</v>
      </c>
      <c r="N138">
        <f>0.175902313846154*(0.3)</f>
        <v>5.2770694153846151E-2</v>
      </c>
    </row>
    <row r="139" spans="1:14" x14ac:dyDescent="0.25">
      <c r="A139">
        <f>-8.144308822*(0.3)</f>
        <v>-2.4432926465999998</v>
      </c>
      <c r="B139">
        <f>0.626485294*(0.3)</f>
        <v>0.18794558819999999</v>
      </c>
      <c r="C139">
        <f>1.879455882*(0.3)</f>
        <v>0.56383676459999987</v>
      </c>
      <c r="D139">
        <f>0.626485294*(0.3)</f>
        <v>0.18794558819999999</v>
      </c>
      <c r="E139">
        <f>0.626485294*(0.3)</f>
        <v>0.18794558819999999</v>
      </c>
      <c r="F139">
        <f>0.626485294*(0.3)</f>
        <v>0.18794558819999999</v>
      </c>
      <c r="G139">
        <f>0.3758911764*(0.3)</f>
        <v>0.11276735291999998</v>
      </c>
      <c r="H139">
        <f>0.626485294*(0.3)</f>
        <v>0.18794558819999999</v>
      </c>
      <c r="I139">
        <f>0.626485294*(0.3)</f>
        <v>0.18794558819999999</v>
      </c>
      <c r="J139">
        <f>-0.1252970588*(0.3)</f>
        <v>-3.7589117639999989E-2</v>
      </c>
      <c r="K139">
        <f>0.626485294*(0.3)</f>
        <v>0.18794558819999999</v>
      </c>
      <c r="L139">
        <f>0.30697779406*(0.3)</f>
        <v>9.209333821799999E-2</v>
      </c>
      <c r="M139">
        <f>0.6891338234*(0.3)</f>
        <v>0.20674014702000001</v>
      </c>
      <c r="N139">
        <f>0.626485294*(0.3)</f>
        <v>0.18794558819999999</v>
      </c>
    </row>
    <row r="140" spans="1:14" x14ac:dyDescent="0.25">
      <c r="A140">
        <f>-0.285155406*(0.3)</f>
        <v>-8.55466218E-2</v>
      </c>
      <c r="B140">
        <f>0.0219350312307692*(0.3)</f>
        <v>6.5805093692307692E-3</v>
      </c>
      <c r="C140">
        <f>0.0658050936923077*(0.3)</f>
        <v>1.9741528107692308E-2</v>
      </c>
      <c r="D140">
        <f>0.0219350312307692*(0.3)</f>
        <v>6.5805093692307692E-3</v>
      </c>
      <c r="E140">
        <f>0.0219350312307692*(0.3)</f>
        <v>6.5805093692307692E-3</v>
      </c>
      <c r="F140">
        <f>0.0219350312307692*(0.3)</f>
        <v>6.5805093692307692E-3</v>
      </c>
      <c r="G140">
        <f>0.0131610187384615*(0.3)</f>
        <v>3.9483056215384614E-3</v>
      </c>
      <c r="H140">
        <f>0.0219350312307692*(0.3)</f>
        <v>6.5805093692307692E-3</v>
      </c>
      <c r="I140">
        <f>0.0219350312307692*(0.3)</f>
        <v>6.5805093692307692E-3</v>
      </c>
      <c r="J140">
        <f>-0.00438700624615385*(0.3)</f>
        <v>-1.3161018738461535E-3</v>
      </c>
      <c r="K140">
        <f>0.0219350312307692*(0.3)</f>
        <v>6.5805093692307692E-3</v>
      </c>
      <c r="L140">
        <f>0.0107481653030769*(0.3)</f>
        <v>3.2244495909230769E-3</v>
      </c>
      <c r="M140">
        <f>0.0241285343538462*(0.3)</f>
        <v>7.2385603061538469E-3</v>
      </c>
      <c r="N140">
        <f>0.0219350312307692*(0.3)</f>
        <v>6.5805093692307692E-3</v>
      </c>
    </row>
    <row r="141" spans="1:14" x14ac:dyDescent="0.25">
      <c r="A141">
        <f>-5.804839731*(0.3)</f>
        <v>-1.7414519193</v>
      </c>
      <c r="B141">
        <f>0.446526133153846*(0.3)</f>
        <v>0.13395783994615384</v>
      </c>
      <c r="C141">
        <f>1.33957839946154*(0.3)</f>
        <v>0.40187351983846159</v>
      </c>
      <c r="D141">
        <f>0.446526133153846*(0.3)</f>
        <v>0.13395783994615384</v>
      </c>
      <c r="E141">
        <f>0.446526133153846*(0.3)</f>
        <v>0.13395783994615384</v>
      </c>
      <c r="F141">
        <f>0.446526133153846*(0.3)</f>
        <v>0.13395783994615384</v>
      </c>
      <c r="G141">
        <f>0.267915679892308*(0.3)</f>
        <v>8.0374703967692307E-2</v>
      </c>
      <c r="H141">
        <f>0.446526133153846*(0.3)</f>
        <v>0.13395783994615384</v>
      </c>
      <c r="I141">
        <f>0.446526133153846*(0.3)</f>
        <v>0.13395783994615384</v>
      </c>
      <c r="J141">
        <f>-0.0893052266307692*(0.3)</f>
        <v>-2.6791567989230766E-2</v>
      </c>
      <c r="K141">
        <f>0.446526133153846*(0.3)</f>
        <v>0.13395783994615384</v>
      </c>
      <c r="L141">
        <f>0.218797805245385*(0.3)</f>
        <v>6.5639341573615395E-2</v>
      </c>
      <c r="M141">
        <f>0.491178746469231*(0.3)</f>
        <v>0.14735362394076926</v>
      </c>
      <c r="N141">
        <f>0.446526133153846*(0.3)</f>
        <v>0.13395783994615384</v>
      </c>
    </row>
    <row r="142" spans="1:14" x14ac:dyDescent="0.25">
      <c r="A142">
        <f>-0.419881153*(0.3)</f>
        <v>-0.1259643459</v>
      </c>
      <c r="B142">
        <f>0.0322985502307692*(0.3)</f>
        <v>9.6895650692307694E-3</v>
      </c>
      <c r="C142">
        <f>0.0968956506923077*(0.3)</f>
        <v>2.9068695207692306E-2</v>
      </c>
      <c r="D142">
        <f>0.0322985502307692*(0.3)</f>
        <v>9.6895650692307694E-3</v>
      </c>
      <c r="E142">
        <f>0.0322985502307692*(0.3)</f>
        <v>9.6895650692307694E-3</v>
      </c>
      <c r="F142">
        <f>0.0322985502307692*(0.3)</f>
        <v>9.6895650692307694E-3</v>
      </c>
      <c r="G142">
        <f>0.0193791301384615*(0.3)</f>
        <v>5.8137390415384611E-3</v>
      </c>
      <c r="H142">
        <f>0.0322985502307692*(0.3)</f>
        <v>9.6895650692307694E-3</v>
      </c>
      <c r="I142">
        <f>0.0322985502307692*(0.3)</f>
        <v>9.6895650692307694E-3</v>
      </c>
      <c r="J142">
        <f>-0.00645971004615385*(0.3)</f>
        <v>-1.9379130138461535E-3</v>
      </c>
      <c r="K142">
        <f>0.0322985502307692*(0.3)</f>
        <v>9.6895650692307694E-3</v>
      </c>
      <c r="L142">
        <f>0.0158262896130769*(0.3)</f>
        <v>4.7478868839230769E-3</v>
      </c>
      <c r="M142">
        <f>0.0355284052538462*(0.3)</f>
        <v>1.0658521576153848E-2</v>
      </c>
      <c r="N142">
        <f>0.0322985502307692*(0.3)</f>
        <v>9.6895650692307694E-3</v>
      </c>
    </row>
    <row r="143" spans="1:14" x14ac:dyDescent="0.25">
      <c r="A143">
        <f>-6.86340936*(0.3)</f>
        <v>-2.0590228079999999</v>
      </c>
      <c r="B143">
        <f>0.527954566153846*(0.3)</f>
        <v>0.15838636984615384</v>
      </c>
      <c r="C143">
        <f>1.58386369846154*(0.3)</f>
        <v>0.47515910953846152</v>
      </c>
      <c r="D143">
        <f>0.527954566153846*(0.3)</f>
        <v>0.15838636984615384</v>
      </c>
      <c r="E143">
        <f>0.527954566153846*(0.3)</f>
        <v>0.15838636984615384</v>
      </c>
      <c r="F143">
        <f>0.527954566153846*(0.3)</f>
        <v>0.15838636984615384</v>
      </c>
      <c r="G143">
        <f>0.316772739692308*(0.3)</f>
        <v>9.5031821907692299E-2</v>
      </c>
      <c r="H143">
        <f>0.527954566153846*(0.3)</f>
        <v>0.15838636984615384</v>
      </c>
      <c r="I143">
        <f>0.527954566153846*(0.3)</f>
        <v>0.15838636984615384</v>
      </c>
      <c r="J143">
        <f>-0.105590913230769*(0.3)</f>
        <v>-3.1677273969230764E-2</v>
      </c>
      <c r="K143">
        <f>0.527954566153846*(0.3)</f>
        <v>0.15838636984615384</v>
      </c>
      <c r="L143">
        <f>0.258697737415385*(0.3)</f>
        <v>7.7609321224615377E-2</v>
      </c>
      <c r="M143">
        <f>0.580750022769231*(0.3)</f>
        <v>0.17422500683076925</v>
      </c>
      <c r="N143">
        <f>0.527954566153846*(0.3)</f>
        <v>0.15838636984615384</v>
      </c>
    </row>
    <row r="144" spans="1:14" x14ac:dyDescent="0.25">
      <c r="A144">
        <f>0.393919404*(0.3)</f>
        <v>0.11817582119999999</v>
      </c>
      <c r="B144">
        <f>-0.0303014926153846*(0.3)</f>
        <v>-9.0904477846153846E-3</v>
      </c>
      <c r="C144">
        <f>-0.0909044778461538*(0.3)</f>
        <v>-2.727134335384615E-2</v>
      </c>
      <c r="D144">
        <f>-0.0303014926153846*(0.3)</f>
        <v>-9.0904477846153846E-3</v>
      </c>
      <c r="E144">
        <f>-0.0303014926153846*(0.3)</f>
        <v>-9.0904477846153846E-3</v>
      </c>
      <c r="F144">
        <f>-0.0303014926153846*(0.3)</f>
        <v>-9.0904477846153846E-3</v>
      </c>
      <c r="G144">
        <f>-0.0181808955692308*(0.3)</f>
        <v>-5.4542686707692309E-3</v>
      </c>
      <c r="H144">
        <f>-0.0303014926153846*(0.3)</f>
        <v>-9.0904477846153846E-3</v>
      </c>
      <c r="I144">
        <f>-0.0303014926153846*(0.3)</f>
        <v>-9.0904477846153846E-3</v>
      </c>
      <c r="J144">
        <f>0.00606029852307692*(0.3)</f>
        <v>1.8180895569230764E-3</v>
      </c>
      <c r="K144">
        <f>-0.0303014926153846*(0.3)</f>
        <v>-9.0904477846153846E-3</v>
      </c>
      <c r="L144">
        <f>-0.0148477313815385*(0.3)</f>
        <v>-4.454319414461538E-3</v>
      </c>
      <c r="M144">
        <f>-0.0333316418769231*(0.3)</f>
        <v>-9.9994925630769223E-3</v>
      </c>
      <c r="N144">
        <f>-0.0303014926153846*(0.3)</f>
        <v>-9.0904477846153846E-3</v>
      </c>
    </row>
    <row r="145" spans="1:14" x14ac:dyDescent="0.25">
      <c r="A145">
        <f>-3.528641881*(0.3)</f>
        <v>-1.0585925643</v>
      </c>
      <c r="B145">
        <f>0.271433990846154*(0.3)</f>
        <v>8.1430197253846148E-2</v>
      </c>
      <c r="C145">
        <f>0.814301972538461*(0.3)</f>
        <v>0.24429059176153844</v>
      </c>
      <c r="D145">
        <f>0.271433990846154*(0.3)</f>
        <v>8.1430197253846148E-2</v>
      </c>
      <c r="E145">
        <f>0.271433990846154*(0.3)</f>
        <v>8.1430197253846148E-2</v>
      </c>
      <c r="F145">
        <f>0.271433990846154*(0.3)</f>
        <v>8.1430197253846148E-2</v>
      </c>
      <c r="G145">
        <f>0.162860394507692*(0.3)</f>
        <v>4.8858118352307689E-2</v>
      </c>
      <c r="H145">
        <f>0.271433990846154*(0.3)</f>
        <v>8.1430197253846148E-2</v>
      </c>
      <c r="I145">
        <f>0.271433990846154*(0.3)</f>
        <v>8.1430197253846148E-2</v>
      </c>
      <c r="J145">
        <f>-0.0542867981692308*(0.3)</f>
        <v>-1.6286039450769226E-2</v>
      </c>
      <c r="K145">
        <f>0.271433990846154*(0.3)</f>
        <v>8.1430197253846148E-2</v>
      </c>
      <c r="L145">
        <f>0.133002655514615*(0.3)</f>
        <v>3.9900796654384611E-2</v>
      </c>
      <c r="M145">
        <f>0.298577389930769*(0.3)</f>
        <v>8.9573216979230763E-2</v>
      </c>
      <c r="N145">
        <f>0.271433990846154*(0.3)</f>
        <v>8.1430197253846148E-2</v>
      </c>
    </row>
    <row r="146" spans="1:14" x14ac:dyDescent="0.25">
      <c r="A146">
        <f>-2.741654048*(0.3)</f>
        <v>-0.82249621439999998</v>
      </c>
      <c r="B146">
        <f>0.210896465230769*(0.3)</f>
        <v>6.326893956923077E-2</v>
      </c>
      <c r="C146">
        <f>0.632689395692308*(0.3)</f>
        <v>0.18980681870769231</v>
      </c>
      <c r="D146">
        <f>0.210896465230769*(0.3)</f>
        <v>6.326893956923077E-2</v>
      </c>
      <c r="E146">
        <f>0.210896465230769*(0.3)</f>
        <v>6.326893956923077E-2</v>
      </c>
      <c r="F146">
        <f>0.210896465230769*(0.3)</f>
        <v>6.326893956923077E-2</v>
      </c>
      <c r="G146">
        <f>0.126537879138462*(0.3)</f>
        <v>3.7961363741538461E-2</v>
      </c>
      <c r="H146">
        <f>0.210896465230769*(0.3)</f>
        <v>6.326893956923077E-2</v>
      </c>
      <c r="I146">
        <f>0.210896465230769*(0.3)</f>
        <v>6.326893956923077E-2</v>
      </c>
      <c r="J146">
        <f>-0.0421792930461538*(0.3)</f>
        <v>-1.2653787913846151E-2</v>
      </c>
      <c r="K146">
        <f>0.210896465230769*(0.3)</f>
        <v>6.326893956923077E-2</v>
      </c>
      <c r="L146">
        <f>0.103339267963077*(0.3)</f>
        <v>3.1001780388923074E-2</v>
      </c>
      <c r="M146">
        <f>0.231986111753846*(0.3)</f>
        <v>6.9595833526153852E-2</v>
      </c>
      <c r="N146">
        <f>0.210896465230769*(0.3)</f>
        <v>6.326893956923077E-2</v>
      </c>
    </row>
    <row r="147" spans="1:14" x14ac:dyDescent="0.25">
      <c r="A147">
        <f>-5.827793475*(0.3)</f>
        <v>-1.7483380424999999</v>
      </c>
      <c r="B147">
        <f>0.448291805769231*(0.3)</f>
        <v>0.13448754173076924</v>
      </c>
      <c r="C147">
        <f>1.34487541730769*(0.3)</f>
        <v>0.40346262519230774</v>
      </c>
      <c r="D147">
        <f>0.448291805769231*(0.3)</f>
        <v>0.13448754173076924</v>
      </c>
      <c r="E147">
        <f>0.448291805769231*(0.3)</f>
        <v>0.13448754173076924</v>
      </c>
      <c r="F147">
        <f>0.448291805769231*(0.3)</f>
        <v>0.13448754173076924</v>
      </c>
      <c r="G147">
        <f>0.268975083461538*(0.3)</f>
        <v>8.0692525038461541E-2</v>
      </c>
      <c r="H147">
        <f>0.448291805769231*(0.3)</f>
        <v>0.13448754173076924</v>
      </c>
      <c r="I147">
        <f>0.448291805769231*(0.3)</f>
        <v>0.13448754173076924</v>
      </c>
      <c r="J147">
        <f>-0.0896583611538461*(0.3)</f>
        <v>-2.6897508346153839E-2</v>
      </c>
      <c r="K147">
        <f>0.448291805769231*(0.3)</f>
        <v>0.13448754173076924</v>
      </c>
      <c r="L147">
        <f>0.219662984826923*(0.3)</f>
        <v>6.5898895448076922E-2</v>
      </c>
      <c r="M147">
        <f>0.493120986346154*(0.3)</f>
        <v>0.14793629590384616</v>
      </c>
      <c r="N147">
        <f>0.448291805769231*(0.3)</f>
        <v>0.13448754173076924</v>
      </c>
    </row>
    <row r="148" spans="1:14" x14ac:dyDescent="0.25">
      <c r="A148">
        <f>-1.227515045*(0.3)</f>
        <v>-0.36825451349999999</v>
      </c>
      <c r="B148">
        <f>0.0944242342307692*(0.3)</f>
        <v>2.8327270269230768E-2</v>
      </c>
      <c r="C148">
        <f>0.283272702692308*(0.3)</f>
        <v>8.4981810807692307E-2</v>
      </c>
      <c r="D148">
        <f>0.0944242342307692*(0.3)</f>
        <v>2.8327270269230768E-2</v>
      </c>
      <c r="E148">
        <f>0.0944242342307692*(0.3)</f>
        <v>2.8327270269230768E-2</v>
      </c>
      <c r="F148">
        <f>0.0944242342307692*(0.3)</f>
        <v>2.8327270269230768E-2</v>
      </c>
      <c r="G148">
        <f>0.0566545405384615*(0.3)</f>
        <v>1.6996362161538461E-2</v>
      </c>
      <c r="H148">
        <f>0.0944242342307692*(0.3)</f>
        <v>2.8327270269230768E-2</v>
      </c>
      <c r="I148">
        <f>0.0944242342307692*(0.3)</f>
        <v>2.8327270269230768E-2</v>
      </c>
      <c r="J148">
        <f>-0.0188848468461538*(0.3)</f>
        <v>-5.6654540538461527E-3</v>
      </c>
      <c r="K148">
        <f>0.0944242342307692*(0.3)</f>
        <v>2.8327270269230768E-2</v>
      </c>
      <c r="L148">
        <f>0.0462678747730769*(0.3)</f>
        <v>1.3880362431923076E-2</v>
      </c>
      <c r="M148">
        <f>0.103866657653846*(0.3)</f>
        <v>3.1159997296153846E-2</v>
      </c>
      <c r="N148">
        <f>0.0944242342307692*(0.3)</f>
        <v>2.8327270269230768E-2</v>
      </c>
    </row>
    <row r="149" spans="1:14" x14ac:dyDescent="0.25">
      <c r="A149">
        <f>-6.2866423*(0.3)</f>
        <v>-1.8859926899999997</v>
      </c>
      <c r="B149">
        <f>0.483587869230769*(0.3)</f>
        <v>0.14507636076923075</v>
      </c>
      <c r="C149">
        <f>1.45076360769231*(0.3)</f>
        <v>0.43522908230769225</v>
      </c>
      <c r="D149">
        <f>0.483587869230769*(0.3)</f>
        <v>0.14507636076923075</v>
      </c>
      <c r="E149">
        <f>0.483587869230769*(0.3)</f>
        <v>0.14507636076923075</v>
      </c>
      <c r="F149">
        <f>0.483587869230769*(0.3)</f>
        <v>0.14507636076923075</v>
      </c>
      <c r="G149">
        <f>0.290152721538461*(0.3)</f>
        <v>8.7045816461538444E-2</v>
      </c>
      <c r="H149">
        <f>0.483587869230769*(0.3)</f>
        <v>0.14507636076923075</v>
      </c>
      <c r="I149">
        <f>0.483587869230769*(0.3)</f>
        <v>0.14507636076923075</v>
      </c>
      <c r="J149">
        <f>-0.0967175738461538*(0.3)</f>
        <v>-2.9015272153846142E-2</v>
      </c>
      <c r="K149">
        <f>0.483587869230769*(0.3)</f>
        <v>0.14507636076923075</v>
      </c>
      <c r="L149">
        <f>0.236958055923077*(0.3)</f>
        <v>7.1087416776923068E-2</v>
      </c>
      <c r="M149">
        <f>0.531946656153846*(0.3)</f>
        <v>0.15958399684615385</v>
      </c>
      <c r="N149">
        <f>0.483587869230769*(0.3)</f>
        <v>0.14507636076923075</v>
      </c>
    </row>
    <row r="150" spans="1:14" x14ac:dyDescent="0.25">
      <c r="A150">
        <f>3.322175772*(0.3)</f>
        <v>0.99665273160000001</v>
      </c>
      <c r="B150">
        <f>-0.255551982461538*(0.3)</f>
        <v>-7.6665594738461545E-2</v>
      </c>
      <c r="C150">
        <f>-0.766655947384616*(0.3)</f>
        <v>-0.22999678421538464</v>
      </c>
      <c r="D150">
        <f>-0.255551982461538*(0.3)</f>
        <v>-7.6665594738461545E-2</v>
      </c>
      <c r="E150">
        <f>-0.255551982461538*(0.3)</f>
        <v>-7.6665594738461545E-2</v>
      </c>
      <c r="F150">
        <f>-0.255551982461538*(0.3)</f>
        <v>-7.6665594738461545E-2</v>
      </c>
      <c r="G150">
        <f>-0.153331189476923*(0.3)</f>
        <v>-4.5999356843076926E-2</v>
      </c>
      <c r="H150">
        <f>-0.255551982461538*(0.3)</f>
        <v>-7.6665594738461545E-2</v>
      </c>
      <c r="I150">
        <f>-0.255551982461538*(0.3)</f>
        <v>-7.6665594738461545E-2</v>
      </c>
      <c r="J150">
        <f>0.0511103964923077*(0.3)</f>
        <v>1.5333118947692305E-2</v>
      </c>
      <c r="K150">
        <f>-0.255551982461538*(0.3)</f>
        <v>-7.6665594738461545E-2</v>
      </c>
      <c r="L150">
        <f>-0.125220471406154*(0.3)</f>
        <v>-3.756614142184616E-2</v>
      </c>
      <c r="M150">
        <f>-0.281107180707692*(0.3)</f>
        <v>-8.4332154212307706E-2</v>
      </c>
      <c r="N150">
        <f>-0.255551982461538*(0.3)</f>
        <v>-7.6665594738461545E-2</v>
      </c>
    </row>
    <row r="151" spans="1:14" x14ac:dyDescent="0.25">
      <c r="A151">
        <f>-6.589567403*(0.3)</f>
        <v>-1.9768702209</v>
      </c>
      <c r="B151">
        <f>0.506889800230769*(0.3)</f>
        <v>0.15206694006923077</v>
      </c>
      <c r="C151">
        <f>1.52066940069231*(0.3)</f>
        <v>0.45620082020769226</v>
      </c>
      <c r="D151">
        <f>0.506889800230769*(0.3)</f>
        <v>0.15206694006923077</v>
      </c>
      <c r="E151">
        <f>0.506889800230769*(0.3)</f>
        <v>0.15206694006923077</v>
      </c>
      <c r="F151">
        <f>0.506889800230769*(0.3)</f>
        <v>0.15206694006923077</v>
      </c>
      <c r="G151">
        <f>0.304133880138462*(0.3)</f>
        <v>9.1240164041538466E-2</v>
      </c>
      <c r="H151">
        <f>0.506889800230769*(0.3)</f>
        <v>0.15206694006923077</v>
      </c>
      <c r="I151">
        <f>0.506889800230769*(0.3)</f>
        <v>0.15206694006923077</v>
      </c>
      <c r="J151">
        <f>-0.101377960046154*(0.3)</f>
        <v>-3.0413388013846146E-2</v>
      </c>
      <c r="K151">
        <f>0.506889800230769*(0.3)</f>
        <v>0.15206694006923077</v>
      </c>
      <c r="L151">
        <f>0.248376002113077*(0.3)</f>
        <v>7.4512800633923071E-2</v>
      </c>
      <c r="M151">
        <f>0.557578780253846*(0.3)</f>
        <v>0.16727363407615387</v>
      </c>
      <c r="N151">
        <f>0.506889800230769*(0.3)</f>
        <v>0.15206694006923077</v>
      </c>
    </row>
    <row r="152" spans="1:14" x14ac:dyDescent="0.25">
      <c r="A152">
        <f>0.091055159*(0.3)</f>
        <v>2.7316547699999999E-2</v>
      </c>
      <c r="B152">
        <f>-0.007004243*(0.3)</f>
        <v>-2.1012728999999998E-3</v>
      </c>
      <c r="C152">
        <f>-0.021012729*(0.3)</f>
        <v>-6.303818699999999E-3</v>
      </c>
      <c r="D152">
        <f>-0.007004243*(0.3)</f>
        <v>-2.1012728999999998E-3</v>
      </c>
      <c r="E152">
        <f>-0.007004243*(0.3)</f>
        <v>-2.1012728999999998E-3</v>
      </c>
      <c r="F152">
        <f>-0.007004243*(0.3)</f>
        <v>-2.1012728999999998E-3</v>
      </c>
      <c r="G152">
        <f>-0.0042025458*(0.3)</f>
        <v>-1.2607637399999999E-3</v>
      </c>
      <c r="H152">
        <f>-0.007004243*(0.3)</f>
        <v>-2.1012728999999998E-3</v>
      </c>
      <c r="I152">
        <f>-0.007004243*(0.3)</f>
        <v>-2.1012728999999998E-3</v>
      </c>
      <c r="J152">
        <f>0.0014008486*(0.3)</f>
        <v>4.2025457999999991E-4</v>
      </c>
      <c r="K152">
        <f>-0.007004243*(0.3)</f>
        <v>-2.1012728999999998E-3</v>
      </c>
      <c r="L152">
        <f>-0.00343207907*(0.3)</f>
        <v>-1.0296237209999998E-3</v>
      </c>
      <c r="M152">
        <f>-0.0077046673*(0.3)</f>
        <v>-2.31140019E-3</v>
      </c>
      <c r="N152">
        <f>-0.007004243*(0.3)</f>
        <v>-2.1012728999999998E-3</v>
      </c>
    </row>
    <row r="153" spans="1:14" x14ac:dyDescent="0.25">
      <c r="A153">
        <f>-10.09797238*(0.3)</f>
        <v>-3.029391714</v>
      </c>
      <c r="B153">
        <f>0.776767106153846*(0.3)</f>
        <v>0.23303013184615384</v>
      </c>
      <c r="C153">
        <f>2.33030131846154*(0.3)</f>
        <v>0.69909039553846153</v>
      </c>
      <c r="D153">
        <f>0.776767106153846*(0.3)</f>
        <v>0.23303013184615384</v>
      </c>
      <c r="E153">
        <f>0.776767106153846*(0.3)</f>
        <v>0.23303013184615384</v>
      </c>
      <c r="F153">
        <f>0.776767106153846*(0.3)</f>
        <v>0.23303013184615384</v>
      </c>
      <c r="G153">
        <f>0.466060263692308*(0.3)</f>
        <v>0.13981807910769231</v>
      </c>
      <c r="H153">
        <f>0.776767106153846*(0.3)</f>
        <v>0.23303013184615384</v>
      </c>
      <c r="I153">
        <f>0.776767106153846*(0.3)</f>
        <v>0.23303013184615384</v>
      </c>
      <c r="J153">
        <f>-0.155353421230769*(0.3)</f>
        <v>-4.6606026369230759E-2</v>
      </c>
      <c r="K153">
        <f>0.776767106153846*(0.3)</f>
        <v>0.23303013184615384</v>
      </c>
      <c r="L153">
        <f>0.380615882015385*(0.3)</f>
        <v>0.11418476460461538</v>
      </c>
      <c r="M153">
        <f>0.854443816769231*(0.3)</f>
        <v>0.25633314503076926</v>
      </c>
      <c r="N153">
        <f>0.776767106153846*(0.3)</f>
        <v>0.23303013184615384</v>
      </c>
    </row>
    <row r="154" spans="1:14" x14ac:dyDescent="0.25">
      <c r="A154">
        <f>-0.642891062*(0.3)</f>
        <v>-0.1928673186</v>
      </c>
      <c r="B154">
        <f>0.0494531586153846*(0.3)</f>
        <v>1.4835947584615384E-2</v>
      </c>
      <c r="C154">
        <f>0.148359475846154*(0.3)</f>
        <v>4.4507842753846151E-2</v>
      </c>
      <c r="D154">
        <f>0.0494531586153846*(0.3)</f>
        <v>1.4835947584615384E-2</v>
      </c>
      <c r="E154">
        <f>0.0494531586153846*(0.3)</f>
        <v>1.4835947584615384E-2</v>
      </c>
      <c r="F154">
        <f>0.0494531586153846*(0.3)</f>
        <v>1.4835947584615384E-2</v>
      </c>
      <c r="G154">
        <f>0.0296718951692308*(0.3)</f>
        <v>8.9015685507692309E-3</v>
      </c>
      <c r="H154">
        <f>0.0494531586153846*(0.3)</f>
        <v>1.4835947584615384E-2</v>
      </c>
      <c r="I154">
        <f>0.0494531586153846*(0.3)</f>
        <v>1.4835947584615384E-2</v>
      </c>
      <c r="J154">
        <f>-0.00989063172307692*(0.3)</f>
        <v>-2.9671895169230762E-3</v>
      </c>
      <c r="K154">
        <f>0.0494531586153846*(0.3)</f>
        <v>1.4835947584615384E-2</v>
      </c>
      <c r="L154">
        <f>0.0242320477215385*(0.3)</f>
        <v>7.2696143164615382E-3</v>
      </c>
      <c r="M154">
        <f>0.0543984744769231*(0.3)</f>
        <v>1.6319542343076924E-2</v>
      </c>
      <c r="N154">
        <f>0.0494531586153846*(0.3)</f>
        <v>1.4835947584615384E-2</v>
      </c>
    </row>
    <row r="155" spans="1:14" x14ac:dyDescent="0.25">
      <c r="A155">
        <f>-13.53687091*(0.3)</f>
        <v>-4.061061273</v>
      </c>
      <c r="B155">
        <f>1.04129776230769*(0.3)</f>
        <v>0.31238932869230768</v>
      </c>
      <c r="C155">
        <f>3.12389328692308*(0.3)</f>
        <v>0.93716798607692298</v>
      </c>
      <c r="D155">
        <f>1.04129776230769*(0.3)</f>
        <v>0.31238932869230768</v>
      </c>
      <c r="E155">
        <f>1.04129776230769*(0.3)</f>
        <v>0.31238932869230768</v>
      </c>
      <c r="F155">
        <f>1.04129776230769*(0.3)</f>
        <v>0.31238932869230768</v>
      </c>
      <c r="G155">
        <f>0.624778657384615*(0.3)</f>
        <v>0.18743359721538461</v>
      </c>
      <c r="H155">
        <f>1.04129776230769*(0.3)</f>
        <v>0.31238932869230768</v>
      </c>
      <c r="I155">
        <f>1.04129776230769*(0.3)</f>
        <v>0.31238932869230768</v>
      </c>
      <c r="J155">
        <f>-0.208259552461538*(0.3)</f>
        <v>-6.2477865738461522E-2</v>
      </c>
      <c r="K155">
        <f>1.04129776230769*(0.3)</f>
        <v>0.31238932869230768</v>
      </c>
      <c r="L155">
        <f>0.510235903530769*(0.3)</f>
        <v>0.15307077105923075</v>
      </c>
      <c r="M155">
        <f>1.14542753853846*(0.3)</f>
        <v>0.34362826156153847</v>
      </c>
      <c r="N155">
        <f>1.04129776230769*(0.3)</f>
        <v>0.31238932869230768</v>
      </c>
    </row>
    <row r="156" spans="1:14" x14ac:dyDescent="0.25">
      <c r="A156">
        <f>0.691962181*(0.3)</f>
        <v>0.20758865429999998</v>
      </c>
      <c r="B156">
        <f>-0.0532278600769231*(0.3)</f>
        <v>-1.5968358023076921E-2</v>
      </c>
      <c r="C156">
        <f>-0.159683580230769*(0.3)</f>
        <v>-4.7905074069230766E-2</v>
      </c>
      <c r="D156">
        <f>-0.0532278600769231*(0.3)</f>
        <v>-1.5968358023076921E-2</v>
      </c>
      <c r="E156">
        <f>-0.0532278600769231*(0.3)</f>
        <v>-1.5968358023076921E-2</v>
      </c>
      <c r="F156">
        <f>-0.0532278600769231*(0.3)</f>
        <v>-1.5968358023076921E-2</v>
      </c>
      <c r="G156">
        <f>-0.0319367160461538*(0.3)</f>
        <v>-9.5810148138461525E-3</v>
      </c>
      <c r="H156">
        <f>-0.0532278600769231*(0.3)</f>
        <v>-1.5968358023076921E-2</v>
      </c>
      <c r="I156">
        <f>-0.0532278600769231*(0.3)</f>
        <v>-1.5968358023076921E-2</v>
      </c>
      <c r="J156">
        <f>0.0106455720153846*(0.3)</f>
        <v>3.1936716046153837E-3</v>
      </c>
      <c r="K156">
        <f>-0.0532278600769231*(0.3)</f>
        <v>-1.5968358023076921E-2</v>
      </c>
      <c r="L156">
        <f>-0.0260816514376923*(0.3)</f>
        <v>-7.8244954313076917E-3</v>
      </c>
      <c r="M156">
        <f>-0.0585506460846154*(0.3)</f>
        <v>-1.7565193825384615E-2</v>
      </c>
      <c r="N156">
        <f>-0.0532278600769231*(0.3)</f>
        <v>-1.5968358023076921E-2</v>
      </c>
    </row>
    <row r="157" spans="1:14" x14ac:dyDescent="0.25">
      <c r="A157">
        <f>-10.85417531*(0.3)</f>
        <v>-3.2562525930000001</v>
      </c>
      <c r="B157">
        <f>0.834936562307692*(0.3)</f>
        <v>0.25048096869230768</v>
      </c>
      <c r="C157">
        <f>2.50480968692308*(0.3)</f>
        <v>0.7514429060769231</v>
      </c>
      <c r="D157">
        <f>0.834936562307692*(0.3)</f>
        <v>0.25048096869230768</v>
      </c>
      <c r="E157">
        <f>0.834936562307692*(0.3)</f>
        <v>0.25048096869230768</v>
      </c>
      <c r="F157">
        <f>0.834936562307692*(0.3)</f>
        <v>0.25048096869230768</v>
      </c>
      <c r="G157">
        <f>0.500961937384615*(0.3)</f>
        <v>0.1502885812153846</v>
      </c>
      <c r="H157">
        <f>0.834936562307692*(0.3)</f>
        <v>0.25048096869230768</v>
      </c>
      <c r="I157">
        <f>0.834936562307692*(0.3)</f>
        <v>0.25048096869230768</v>
      </c>
      <c r="J157">
        <f>-0.166987312461538*(0.3)</f>
        <v>-5.0096193738461525E-2</v>
      </c>
      <c r="K157">
        <f>0.834936562307692*(0.3)</f>
        <v>0.25048096869230768</v>
      </c>
      <c r="L157">
        <f>0.409118915530769*(0.3)</f>
        <v>0.12273567465923077</v>
      </c>
      <c r="M157">
        <f>0.918430218538462*(0.3)</f>
        <v>0.2755290655615385</v>
      </c>
      <c r="N157">
        <f>0.834936562307692*(0.3)</f>
        <v>0.25048096869230768</v>
      </c>
    </row>
    <row r="158" spans="1:14" x14ac:dyDescent="0.25">
      <c r="A158">
        <f>-2.215418884*(0.3)</f>
        <v>-0.66462566519999999</v>
      </c>
      <c r="B158">
        <f>0.170416837230769*(0.3)</f>
        <v>5.1125051169230766E-2</v>
      </c>
      <c r="C158">
        <f>0.511250511692308*(0.3)</f>
        <v>0.15337515350769229</v>
      </c>
      <c r="D158">
        <f>0.170416837230769*(0.3)</f>
        <v>5.1125051169230766E-2</v>
      </c>
      <c r="E158">
        <f>0.170416837230769*(0.3)</f>
        <v>5.1125051169230766E-2</v>
      </c>
      <c r="F158">
        <f>0.170416837230769*(0.3)</f>
        <v>5.1125051169230766E-2</v>
      </c>
      <c r="G158">
        <f>0.102250102338462*(0.3)</f>
        <v>3.0675030701538458E-2</v>
      </c>
      <c r="H158">
        <f>0.170416837230769*(0.3)</f>
        <v>5.1125051169230766E-2</v>
      </c>
      <c r="I158">
        <f>0.170416837230769*(0.3)</f>
        <v>5.1125051169230766E-2</v>
      </c>
      <c r="J158">
        <f>-0.0340833674461538*(0.3)</f>
        <v>-1.0225010233846152E-2</v>
      </c>
      <c r="K158">
        <f>0.170416837230769*(0.3)</f>
        <v>5.1125051169230766E-2</v>
      </c>
      <c r="L158">
        <f>0.0835042502430769*(0.3)</f>
        <v>2.5051275072923075E-2</v>
      </c>
      <c r="M158">
        <f>0.187458520953846*(0.3)</f>
        <v>5.6237556286153845E-2</v>
      </c>
      <c r="N158">
        <f>0.170416837230769*(0.3)</f>
        <v>5.1125051169230766E-2</v>
      </c>
    </row>
    <row r="159" spans="1:14" x14ac:dyDescent="0.25">
      <c r="A159">
        <f>-16.82259809*(0.3)</f>
        <v>-5.0467794269999997</v>
      </c>
      <c r="B159">
        <f>1.29404600692308*(0.3)</f>
        <v>0.38821380207692302</v>
      </c>
      <c r="C159">
        <f>3.88213802076923*(0.3)</f>
        <v>1.1646414062307691</v>
      </c>
      <c r="D159">
        <f>1.29404600692308*(0.3)</f>
        <v>0.38821380207692302</v>
      </c>
      <c r="E159">
        <f>1.29404600692308*(0.3)</f>
        <v>0.38821380207692302</v>
      </c>
      <c r="F159">
        <f>1.29404600692308*(0.3)</f>
        <v>0.38821380207692302</v>
      </c>
      <c r="G159">
        <f>0.776427604153846*(0.3)</f>
        <v>0.23292828124615381</v>
      </c>
      <c r="H159">
        <f>1.29404600692308*(0.3)</f>
        <v>0.38821380207692302</v>
      </c>
      <c r="I159">
        <f>1.29404600692308*(0.3)</f>
        <v>0.38821380207692302</v>
      </c>
      <c r="J159">
        <f>-0.258809201384615*(0.3)</f>
        <v>-7.7642760415384593E-2</v>
      </c>
      <c r="K159">
        <f>1.29404600692308*(0.3)</f>
        <v>0.38821380207692302</v>
      </c>
      <c r="L159">
        <f>0.634082543392308*(0.3)</f>
        <v>0.19022476301769228</v>
      </c>
      <c r="M159">
        <f>1.42345060761538*(0.3)</f>
        <v>0.42703518228461534</v>
      </c>
      <c r="N159">
        <f>1.29404600692308*(0.3)</f>
        <v>0.38821380207692302</v>
      </c>
    </row>
    <row r="160" spans="1:14" x14ac:dyDescent="0.25">
      <c r="A160">
        <f>-0.10959286*(0.3)</f>
        <v>-3.2877857999999996E-2</v>
      </c>
      <c r="B160">
        <f>0.00843022*(0.3)</f>
        <v>2.529066E-3</v>
      </c>
      <c r="C160">
        <f>0.02529066*(0.3)</f>
        <v>7.5871979999999999E-3</v>
      </c>
      <c r="D160">
        <f>0.00843022*(0.3)</f>
        <v>2.529066E-3</v>
      </c>
      <c r="E160">
        <f>0.00843022*(0.3)</f>
        <v>2.529066E-3</v>
      </c>
      <c r="F160">
        <f>0.00843022*(0.3)</f>
        <v>2.529066E-3</v>
      </c>
      <c r="G160">
        <f>0.005058132*(0.3)</f>
        <v>1.5174396E-3</v>
      </c>
      <c r="H160">
        <f>0.00843022*(0.3)</f>
        <v>2.529066E-3</v>
      </c>
      <c r="I160">
        <f>0.00843022*(0.3)</f>
        <v>2.529066E-3</v>
      </c>
      <c r="J160">
        <f>-0.001686044*(0.3)</f>
        <v>-5.0581319999999988E-4</v>
      </c>
      <c r="K160">
        <f>0.00843022*(0.3)</f>
        <v>2.529066E-3</v>
      </c>
      <c r="L160">
        <f>0.0041308078*(0.3)</f>
        <v>1.2392423400000002E-3</v>
      </c>
      <c r="M160">
        <f>0.009273242*(0.3)</f>
        <v>2.7819726000000004E-3</v>
      </c>
      <c r="N160">
        <f>0.00843022*(0.3)</f>
        <v>2.529066E-3</v>
      </c>
    </row>
    <row r="161" spans="1:14" x14ac:dyDescent="0.25">
      <c r="A161">
        <f>-7.128357185*(0.3)</f>
        <v>-2.1385071554999997</v>
      </c>
      <c r="B161">
        <f>0.548335168076923*(0.3)</f>
        <v>0.1645005504230769</v>
      </c>
      <c r="C161">
        <f>1.64500550423077*(0.3)</f>
        <v>0.49350165126923073</v>
      </c>
      <c r="D161">
        <f>0.548335168076923*(0.3)</f>
        <v>0.1645005504230769</v>
      </c>
      <c r="E161">
        <f>0.548335168076923*(0.3)</f>
        <v>0.1645005504230769</v>
      </c>
      <c r="F161">
        <f>0.548335168076923*(0.3)</f>
        <v>0.1645005504230769</v>
      </c>
      <c r="G161">
        <f>0.329001100846154*(0.3)</f>
        <v>9.8700330253846141E-2</v>
      </c>
      <c r="H161">
        <f>0.548335168076923*(0.3)</f>
        <v>0.1645005504230769</v>
      </c>
      <c r="I161">
        <f>0.548335168076923*(0.3)</f>
        <v>0.1645005504230769</v>
      </c>
      <c r="J161">
        <f>-0.109667033615385*(0.3)</f>
        <v>-3.2900110084615374E-2</v>
      </c>
      <c r="K161">
        <f>0.548335168076923*(0.3)</f>
        <v>0.1645005504230769</v>
      </c>
      <c r="L161">
        <f>0.268684232357692*(0.3)</f>
        <v>8.0605269707307678E-2</v>
      </c>
      <c r="M161">
        <f>0.603168684884615*(0.3)</f>
        <v>0.18095060546538461</v>
      </c>
      <c r="N161">
        <f>0.548335168076923*(0.3)</f>
        <v>0.1645005504230769</v>
      </c>
    </row>
    <row r="162" spans="1:14" x14ac:dyDescent="0.25">
      <c r="A162">
        <f>1.477621397*(0.3)</f>
        <v>0.4432864191</v>
      </c>
      <c r="B162">
        <f>-0.113663184384615*(0.3)</f>
        <v>-3.4098955315384614E-2</v>
      </c>
      <c r="C162">
        <f>-0.340989553153846*(0.3)</f>
        <v>-0.10229686594615385</v>
      </c>
      <c r="D162">
        <f>-0.113663184384615*(0.3)</f>
        <v>-3.4098955315384614E-2</v>
      </c>
      <c r="E162">
        <f>-0.113663184384615*(0.3)</f>
        <v>-3.4098955315384614E-2</v>
      </c>
      <c r="F162">
        <f>-0.113663184384615*(0.3)</f>
        <v>-3.4098955315384614E-2</v>
      </c>
      <c r="G162">
        <f>-0.0681979106307692*(0.3)</f>
        <v>-2.0459373189230769E-2</v>
      </c>
      <c r="H162">
        <f>-0.113663184384615*(0.3)</f>
        <v>-3.4098955315384614E-2</v>
      </c>
      <c r="I162">
        <f>-0.113663184384615*(0.3)</f>
        <v>-3.4098955315384614E-2</v>
      </c>
      <c r="J162">
        <f>0.0227326368769231*(0.3)</f>
        <v>6.8197910630769217E-3</v>
      </c>
      <c r="K162">
        <f>-0.113663184384615*(0.3)</f>
        <v>-3.4098955315384614E-2</v>
      </c>
      <c r="L162">
        <f>-0.0556949603484615*(0.3)</f>
        <v>-1.6708488104538462E-2</v>
      </c>
      <c r="M162">
        <f>-0.125029502823077*(0.3)</f>
        <v>-3.7508850846923084E-2</v>
      </c>
      <c r="N162">
        <f>-0.113663184384615*(0.3)</f>
        <v>-3.4098955315384614E-2</v>
      </c>
    </row>
    <row r="163" spans="1:14" x14ac:dyDescent="0.25">
      <c r="A163">
        <f>-11.3977881*(0.3)</f>
        <v>-3.41933643</v>
      </c>
      <c r="B163">
        <f>0.876752930769231*(0.3)</f>
        <v>0.2630258792307692</v>
      </c>
      <c r="C163">
        <f>2.63025879230769*(0.3)</f>
        <v>0.78907763769230765</v>
      </c>
      <c r="D163">
        <f>0.876752930769231*(0.3)</f>
        <v>0.2630258792307692</v>
      </c>
      <c r="E163">
        <f>0.876752930769231*(0.3)</f>
        <v>0.2630258792307692</v>
      </c>
      <c r="F163">
        <f>0.876752930769231*(0.3)</f>
        <v>0.2630258792307692</v>
      </c>
      <c r="G163">
        <f>0.526051758461538*(0.3)</f>
        <v>0.15781552753846151</v>
      </c>
      <c r="H163">
        <f>0.876752930769231*(0.3)</f>
        <v>0.2630258792307692</v>
      </c>
      <c r="I163">
        <f>0.876752930769231*(0.3)</f>
        <v>0.2630258792307692</v>
      </c>
      <c r="J163">
        <f>-0.175350586153846*(0.3)</f>
        <v>-5.2605175846153832E-2</v>
      </c>
      <c r="K163">
        <f>0.876752930769231*(0.3)</f>
        <v>0.2630258792307692</v>
      </c>
      <c r="L163">
        <f>0.429608936076923*(0.3)</f>
        <v>0.12888268082307691</v>
      </c>
      <c r="M163">
        <f>0.964428223846154*(0.3)</f>
        <v>0.28932846715384614</v>
      </c>
      <c r="N163">
        <f>0.876752930769231*(0.3)</f>
        <v>0.2630258792307692</v>
      </c>
    </row>
    <row r="164" spans="1:14" x14ac:dyDescent="0.25">
      <c r="A164">
        <f>-1.238678731*(0.3)</f>
        <v>-0.37160361930000002</v>
      </c>
      <c r="B164">
        <f>0.0952829793076923*(0.3)</f>
        <v>2.8584893792307692E-2</v>
      </c>
      <c r="C164">
        <f>0.285848937923077*(0.3)</f>
        <v>8.5754681376923075E-2</v>
      </c>
      <c r="D164">
        <f>0.0952829793076923*(0.3)</f>
        <v>2.8584893792307692E-2</v>
      </c>
      <c r="E164">
        <f>0.0952829793076923*(0.3)</f>
        <v>2.8584893792307692E-2</v>
      </c>
      <c r="F164">
        <f>0.0952829793076923*(0.3)</f>
        <v>2.8584893792307692E-2</v>
      </c>
      <c r="G164">
        <f>0.0571697875846154*(0.3)</f>
        <v>1.7150936275384613E-2</v>
      </c>
      <c r="H164">
        <f>0.0952829793076923*(0.3)</f>
        <v>2.8584893792307692E-2</v>
      </c>
      <c r="I164">
        <f>0.0952829793076923*(0.3)</f>
        <v>2.8584893792307692E-2</v>
      </c>
      <c r="J164">
        <f>-0.0190565958615385*(0.3)</f>
        <v>-5.7169787584615368E-3</v>
      </c>
      <c r="K164">
        <f>0.0952829793076923*(0.3)</f>
        <v>2.8584893792307692E-2</v>
      </c>
      <c r="L164">
        <f>0.0466886598607692*(0.3)</f>
        <v>1.4006597958230768E-2</v>
      </c>
      <c r="M164">
        <f>0.104811277238462*(0.3)</f>
        <v>3.1443383171538462E-2</v>
      </c>
      <c r="N164">
        <f>0.0952829793076923*(0.3)</f>
        <v>2.8584893792307692E-2</v>
      </c>
    </row>
    <row r="165" spans="1:14" x14ac:dyDescent="0.25">
      <c r="A165">
        <f>-14.09332578*(0.3)</f>
        <v>-4.2279977339999997</v>
      </c>
      <c r="B165">
        <f>1.08410198307692*(0.3)</f>
        <v>0.32523059492307693</v>
      </c>
      <c r="C165">
        <f>3.25230594923077*(0.3)</f>
        <v>0.9756917847692308</v>
      </c>
      <c r="D165">
        <f>1.08410198307692*(0.3)</f>
        <v>0.32523059492307693</v>
      </c>
      <c r="E165">
        <f>1.08410198307692*(0.3)</f>
        <v>0.32523059492307693</v>
      </c>
      <c r="F165">
        <f>1.08410198307692*(0.3)</f>
        <v>0.32523059492307693</v>
      </c>
      <c r="G165">
        <f>0.650461189846154*(0.3)</f>
        <v>0.19513835695384615</v>
      </c>
      <c r="H165">
        <f>1.08410198307692*(0.3)</f>
        <v>0.32523059492307693</v>
      </c>
      <c r="I165">
        <f>1.08410198307692*(0.3)</f>
        <v>0.32523059492307693</v>
      </c>
      <c r="J165">
        <f>-0.216820396615385*(0.3)</f>
        <v>-6.5046118984615375E-2</v>
      </c>
      <c r="K165">
        <f>1.08410198307692*(0.3)</f>
        <v>0.32523059492307693</v>
      </c>
      <c r="L165">
        <f>0.531209971707692*(0.3)</f>
        <v>0.15936299151230771</v>
      </c>
      <c r="M165">
        <f>1.19251218138462*(0.3)</f>
        <v>0.35775365441538465</v>
      </c>
      <c r="N165">
        <f>1.08410198307692*(0.3)</f>
        <v>0.32523059492307693</v>
      </c>
    </row>
    <row r="166" spans="1:14" x14ac:dyDescent="0.25">
      <c r="A166">
        <f>-1.425912491*(0.3)</f>
        <v>-0.42777374730000001</v>
      </c>
      <c r="B166">
        <f>0.109685576230769*(0.3)</f>
        <v>3.2905672869230768E-2</v>
      </c>
      <c r="C166">
        <f>0.329056728692308*(0.3)</f>
        <v>9.8717018607692303E-2</v>
      </c>
      <c r="D166">
        <f>0.109685576230769*(0.3)</f>
        <v>3.2905672869230768E-2</v>
      </c>
      <c r="E166">
        <f>0.109685576230769*(0.3)</f>
        <v>3.2905672869230768E-2</v>
      </c>
      <c r="F166">
        <f>0.109685576230769*(0.3)</f>
        <v>3.2905672869230768E-2</v>
      </c>
      <c r="G166">
        <f>0.0658113457384615*(0.3)</f>
        <v>1.9743403721538461E-2</v>
      </c>
      <c r="H166">
        <f>0.109685576230769*(0.3)</f>
        <v>3.2905672869230768E-2</v>
      </c>
      <c r="I166">
        <f>0.109685576230769*(0.3)</f>
        <v>3.2905672869230768E-2</v>
      </c>
      <c r="J166">
        <f>-0.0219371152461538*(0.3)</f>
        <v>-6.5811345738461518E-3</v>
      </c>
      <c r="K166">
        <f>0.109685576230769*(0.3)</f>
        <v>3.2905672869230768E-2</v>
      </c>
      <c r="L166">
        <f>0.0537459323530769*(0.3)</f>
        <v>1.6123779705923078E-2</v>
      </c>
      <c r="M166">
        <f>0.120654133853846*(0.3)</f>
        <v>3.6196240156153844E-2</v>
      </c>
      <c r="N166">
        <f>0.109685576230769*(0.3)</f>
        <v>3.2905672869230768E-2</v>
      </c>
    </row>
    <row r="167" spans="1:14" x14ac:dyDescent="0.25">
      <c r="A167">
        <f>-17.29966469*(0.3)</f>
        <v>-5.1898994069999995</v>
      </c>
      <c r="B167">
        <f>1.33074343769231*(0.3)</f>
        <v>0.39922303130769232</v>
      </c>
      <c r="C167">
        <f>3.99223031307692*(0.3)</f>
        <v>1.197669093923077</v>
      </c>
      <c r="D167">
        <f>1.33074343769231*(0.3)</f>
        <v>0.39922303130769232</v>
      </c>
      <c r="E167">
        <f>1.33074343769231*(0.3)</f>
        <v>0.39922303130769232</v>
      </c>
      <c r="F167">
        <f>1.33074343769231*(0.3)</f>
        <v>0.39922303130769232</v>
      </c>
      <c r="G167">
        <f>0.798446062615385*(0.3)</f>
        <v>0.23953381878461538</v>
      </c>
      <c r="H167">
        <f>1.33074343769231*(0.3)</f>
        <v>0.39922303130769232</v>
      </c>
      <c r="I167">
        <f>1.33074343769231*(0.3)</f>
        <v>0.39922303130769232</v>
      </c>
      <c r="J167">
        <f>-0.266148687538461*(0.3)</f>
        <v>-7.9844606261538442E-2</v>
      </c>
      <c r="K167">
        <f>1.33074343769231*(0.3)</f>
        <v>0.39922303130769232</v>
      </c>
      <c r="L167">
        <f>0.652064284469231*(0.3)</f>
        <v>0.19561928534076925</v>
      </c>
      <c r="M167">
        <f>1.46381778146154*(0.3)</f>
        <v>0.4391453344384616</v>
      </c>
      <c r="N167">
        <f>1.33074343769231*(0.3)</f>
        <v>0.39922303130769232</v>
      </c>
    </row>
    <row r="168" spans="1:14" x14ac:dyDescent="0.25">
      <c r="A168">
        <f>-1.792139183*(0.3)</f>
        <v>-0.53764175489999999</v>
      </c>
      <c r="B168">
        <f>0.137856860230769*(0.3)</f>
        <v>4.1357058069230769E-2</v>
      </c>
      <c r="C168">
        <f>0.413570580692308*(0.3)</f>
        <v>0.1240711742076923</v>
      </c>
      <c r="D168">
        <f>0.137856860230769*(0.3)</f>
        <v>4.1357058069230769E-2</v>
      </c>
      <c r="E168">
        <f>0.137856860230769*(0.3)</f>
        <v>4.1357058069230769E-2</v>
      </c>
      <c r="F168">
        <f>0.137856860230769*(0.3)</f>
        <v>4.1357058069230769E-2</v>
      </c>
      <c r="G168">
        <f>0.0827141161384615*(0.3)</f>
        <v>2.4814234841538461E-2</v>
      </c>
      <c r="H168">
        <f>0.137856860230769*(0.3)</f>
        <v>4.1357058069230769E-2</v>
      </c>
      <c r="I168">
        <f>0.137856860230769*(0.3)</f>
        <v>4.1357058069230769E-2</v>
      </c>
      <c r="J168">
        <f>-0.0275713720461538*(0.3)</f>
        <v>-8.2714116138461521E-3</v>
      </c>
      <c r="K168">
        <f>0.137856860230769*(0.3)</f>
        <v>4.1357058069230769E-2</v>
      </c>
      <c r="L168">
        <f>0.0675498615130769*(0.3)</f>
        <v>2.0264958453923076E-2</v>
      </c>
      <c r="M168">
        <f>0.151642546253846*(0.3)</f>
        <v>4.5492763876153856E-2</v>
      </c>
      <c r="N168">
        <f>0.137856860230769*(0.3)</f>
        <v>4.1357058069230769E-2</v>
      </c>
    </row>
    <row r="169" spans="1:14" x14ac:dyDescent="0.25">
      <c r="A169">
        <f>-21.0735556*(0.3)</f>
        <v>-6.3220666799999998</v>
      </c>
      <c r="B169">
        <f>1.62104273846154*(0.3)</f>
        <v>0.4863128215384615</v>
      </c>
      <c r="C169">
        <f>4.86312821538462*(0.3)</f>
        <v>1.4589384646153847</v>
      </c>
      <c r="D169">
        <f>1.62104273846154*(0.3)</f>
        <v>0.4863128215384615</v>
      </c>
      <c r="E169">
        <f>1.62104273846154*(0.3)</f>
        <v>0.4863128215384615</v>
      </c>
      <c r="F169">
        <f>1.62104273846154*(0.3)</f>
        <v>0.4863128215384615</v>
      </c>
      <c r="G169">
        <f>0.972625643076923*(0.3)</f>
        <v>0.29178769292307688</v>
      </c>
      <c r="H169">
        <f>1.62104273846154*(0.3)</f>
        <v>0.4863128215384615</v>
      </c>
      <c r="I169">
        <f>1.62104273846154*(0.3)</f>
        <v>0.4863128215384615</v>
      </c>
      <c r="J169">
        <f>-0.324208547692308*(0.3)</f>
        <v>-9.7262564307692284E-2</v>
      </c>
      <c r="K169">
        <f>1.62104273846154*(0.3)</f>
        <v>0.4863128215384615</v>
      </c>
      <c r="L169">
        <f>0.794310941846154*(0.3)</f>
        <v>0.23829328255384613</v>
      </c>
      <c r="M169">
        <f>1.78314701230769*(0.3)</f>
        <v>0.53494410369230772</v>
      </c>
      <c r="N169">
        <f>1.62104273846154*(0.3)</f>
        <v>0.4863128215384615</v>
      </c>
    </row>
    <row r="170" spans="1:14" x14ac:dyDescent="0.25">
      <c r="A170">
        <f>1.368821898*(0.3)</f>
        <v>0.41064656939999999</v>
      </c>
      <c r="B170">
        <f>-0.105293992153846*(0.3)</f>
        <v>-3.1588197646153844E-2</v>
      </c>
      <c r="C170">
        <f>-0.315881976461538*(0.3)</f>
        <v>-9.4764592938461525E-2</v>
      </c>
      <c r="D170">
        <f>-0.105293992153846*(0.3)</f>
        <v>-3.1588197646153844E-2</v>
      </c>
      <c r="E170">
        <f>-0.105293992153846*(0.3)</f>
        <v>-3.1588197646153844E-2</v>
      </c>
      <c r="F170">
        <f>-0.105293992153846*(0.3)</f>
        <v>-3.1588197646153844E-2</v>
      </c>
      <c r="G170">
        <f>-0.0631763952923077*(0.3)</f>
        <v>-1.8952918587692307E-2</v>
      </c>
      <c r="H170">
        <f>-0.105293992153846*(0.3)</f>
        <v>-3.1588197646153844E-2</v>
      </c>
      <c r="I170">
        <f>-0.105293992153846*(0.3)</f>
        <v>-3.1588197646153844E-2</v>
      </c>
      <c r="J170">
        <f>0.0210587984307692*(0.3)</f>
        <v>6.3176395292307676E-3</v>
      </c>
      <c r="K170">
        <f>-0.105293992153846*(0.3)</f>
        <v>-3.1588197646153844E-2</v>
      </c>
      <c r="L170">
        <f>-0.0515940561553846*(0.3)</f>
        <v>-1.5478216846615383E-2</v>
      </c>
      <c r="M170">
        <f>-0.115823391369231*(0.3)</f>
        <v>-3.4747017410769229E-2</v>
      </c>
      <c r="N170">
        <f>-0.105293992153846*(0.3)</f>
        <v>-3.1588197646153844E-2</v>
      </c>
    </row>
    <row r="171" spans="1:14" x14ac:dyDescent="0.25">
      <c r="A171">
        <f>-22.93851869*(0.3)</f>
        <v>-6.8815556069999992</v>
      </c>
      <c r="B171">
        <f>1.76450143769231*(0.3)</f>
        <v>0.52935043130769222</v>
      </c>
      <c r="C171">
        <f>5.29350431307692*(0.3)</f>
        <v>1.5880512939230769</v>
      </c>
      <c r="D171">
        <f>1.76450143769231*(0.3)</f>
        <v>0.52935043130769222</v>
      </c>
      <c r="E171">
        <f>1.76450143769231*(0.3)</f>
        <v>0.52935043130769222</v>
      </c>
      <c r="F171">
        <f>1.76450143769231*(0.3)</f>
        <v>0.52935043130769222</v>
      </c>
      <c r="G171">
        <f>1.05870086261538*(0.3)</f>
        <v>0.3176102587846153</v>
      </c>
      <c r="H171">
        <f>1.76450143769231*(0.3)</f>
        <v>0.52935043130769222</v>
      </c>
      <c r="I171">
        <f>1.76450143769231*(0.3)</f>
        <v>0.52935043130769222</v>
      </c>
      <c r="J171">
        <f>-0.352900287538461*(0.3)</f>
        <v>-0.10587008626153842</v>
      </c>
      <c r="K171">
        <f>1.76450143769231*(0.3)</f>
        <v>0.52935043130769222</v>
      </c>
      <c r="L171">
        <f>0.864605704469231*(0.3)</f>
        <v>0.25938171134076921</v>
      </c>
      <c r="M171">
        <f>1.94095158146154*(0.3)</f>
        <v>0.58228547443846157</v>
      </c>
      <c r="N171">
        <f>1.76450143769231*(0.3)</f>
        <v>0.52935043130769222</v>
      </c>
    </row>
    <row r="172" spans="1:14" x14ac:dyDescent="0.25">
      <c r="A172">
        <f>-1.799410452*(0.3)</f>
        <v>-0.53982313559999995</v>
      </c>
      <c r="B172">
        <f>0.138416188615385*(0.3)</f>
        <v>4.152485658461539E-2</v>
      </c>
      <c r="C172">
        <f>0.415248565846154*(0.3)</f>
        <v>0.12457456975384616</v>
      </c>
      <c r="D172">
        <f>0.138416188615385*(0.3)</f>
        <v>4.152485658461539E-2</v>
      </c>
      <c r="E172">
        <f>0.138416188615385*(0.3)</f>
        <v>4.152485658461539E-2</v>
      </c>
      <c r="F172">
        <f>0.138416188615385*(0.3)</f>
        <v>4.152485658461539E-2</v>
      </c>
      <c r="G172">
        <f>0.0830497131692308*(0.3)</f>
        <v>2.4914913950769235E-2</v>
      </c>
      <c r="H172">
        <f>0.138416188615385*(0.3)</f>
        <v>4.152485658461539E-2</v>
      </c>
      <c r="I172">
        <f>0.138416188615385*(0.3)</f>
        <v>4.152485658461539E-2</v>
      </c>
      <c r="J172">
        <f>-0.0276832377230769*(0.3)</f>
        <v>-8.3049713169230759E-3</v>
      </c>
      <c r="K172">
        <f>0.138416188615385*(0.3)</f>
        <v>4.152485658461539E-2</v>
      </c>
      <c r="L172">
        <f>0.0678239324215385*(0.3)</f>
        <v>2.0347179726461537E-2</v>
      </c>
      <c r="M172">
        <f>0.152257807476923*(0.3)</f>
        <v>4.5677342243076929E-2</v>
      </c>
      <c r="N172">
        <f>0.138416188615385*(0.3)</f>
        <v>4.152485658461539E-2</v>
      </c>
    </row>
    <row r="173" spans="1:14" x14ac:dyDescent="0.25">
      <c r="A173">
        <f>-33.5019718*(0.3)</f>
        <v>-10.050591539999999</v>
      </c>
      <c r="B173">
        <f>2.57707475384615*(0.3)</f>
        <v>0.77312242615384619</v>
      </c>
      <c r="C173">
        <f>7.73122426153846*(0.3)</f>
        <v>2.3193672784615385</v>
      </c>
      <c r="D173">
        <f>2.57707475384615*(0.3)</f>
        <v>0.77312242615384619</v>
      </c>
      <c r="E173">
        <f>2.57707475384615*(0.3)</f>
        <v>0.77312242615384619</v>
      </c>
      <c r="F173">
        <f>2.57707475384615*(0.3)</f>
        <v>0.77312242615384619</v>
      </c>
      <c r="G173">
        <f>1.54624485230769*(0.3)</f>
        <v>0.4638734556923077</v>
      </c>
      <c r="H173">
        <f>2.57707475384615*(0.3)</f>
        <v>0.77312242615384619</v>
      </c>
      <c r="I173">
        <f>2.57707475384615*(0.3)</f>
        <v>0.77312242615384619</v>
      </c>
      <c r="J173">
        <f>-0.515414950769231*(0.3)</f>
        <v>-0.15462448523076922</v>
      </c>
      <c r="K173">
        <f>2.57707475384615*(0.3)</f>
        <v>0.77312242615384619</v>
      </c>
      <c r="L173">
        <f>1.26276662938462*(0.3)</f>
        <v>0.3788299888153846</v>
      </c>
      <c r="M173">
        <f>2.83478222923077*(0.3)</f>
        <v>0.85043466876923091</v>
      </c>
      <c r="N173">
        <f>2.57707475384615*(0.3)</f>
        <v>0.77312242615384619</v>
      </c>
    </row>
    <row r="174" spans="1:14" x14ac:dyDescent="0.25">
      <c r="A174">
        <f>2.266375149*(0.3)</f>
        <v>0.67991254469999995</v>
      </c>
      <c r="B174">
        <f>-0.174336549923077*(0.3)</f>
        <v>-5.2300964976923076E-2</v>
      </c>
      <c r="C174">
        <f>-0.523009649769231*(0.3)</f>
        <v>-0.15690289493076923</v>
      </c>
      <c r="D174">
        <f>-0.174336549923077*(0.3)</f>
        <v>-5.2300964976923076E-2</v>
      </c>
      <c r="E174">
        <f>-0.174336549923077*(0.3)</f>
        <v>-5.2300964976923076E-2</v>
      </c>
      <c r="F174">
        <f>-0.174336549923077*(0.3)</f>
        <v>-5.2300964976923076E-2</v>
      </c>
      <c r="G174">
        <f>-0.104601929953846*(0.3)</f>
        <v>-3.1380578986153845E-2</v>
      </c>
      <c r="H174">
        <f>-0.174336549923077*(0.3)</f>
        <v>-5.2300964976923076E-2</v>
      </c>
      <c r="I174">
        <f>-0.174336549923077*(0.3)</f>
        <v>-5.2300964976923076E-2</v>
      </c>
      <c r="J174">
        <f>0.0348673099846154*(0.3)</f>
        <v>1.0460192995384612E-2</v>
      </c>
      <c r="K174">
        <f>-0.174336549923077*(0.3)</f>
        <v>-5.2300964976923076E-2</v>
      </c>
      <c r="L174">
        <f>-0.0854249094623077*(0.3)</f>
        <v>-2.5627472838692308E-2</v>
      </c>
      <c r="M174">
        <f>-0.191770204915385*(0.3)</f>
        <v>-5.7531061474615383E-2</v>
      </c>
      <c r="N174">
        <f>-0.174336549923077*(0.3)</f>
        <v>-5.2300964976923076E-2</v>
      </c>
    </row>
    <row r="175" spans="1:14" x14ac:dyDescent="0.25">
      <c r="A175">
        <f>-32.04667506*(0.3)</f>
        <v>-9.6140025179999995</v>
      </c>
      <c r="B175">
        <f>2.46512885076923*(0.3)</f>
        <v>0.73953865523076912</v>
      </c>
      <c r="C175">
        <f>7.39538655230769*(0.3)</f>
        <v>2.2186159656923072</v>
      </c>
      <c r="D175">
        <f>2.46512885076923*(0.3)</f>
        <v>0.73953865523076912</v>
      </c>
      <c r="E175">
        <f>2.46512885076923*(0.3)</f>
        <v>0.73953865523076912</v>
      </c>
      <c r="F175">
        <f>2.46512885076923*(0.3)</f>
        <v>0.73953865523076912</v>
      </c>
      <c r="G175">
        <f>1.47907731046154*(0.3)</f>
        <v>0.44372319313846148</v>
      </c>
      <c r="H175">
        <f>2.46512885076923*(0.3)</f>
        <v>0.73953865523076912</v>
      </c>
      <c r="I175">
        <f>2.46512885076923*(0.3)</f>
        <v>0.73953865523076912</v>
      </c>
      <c r="J175">
        <f>-0.493025770153846*(0.3)</f>
        <v>-0.14790773104615379</v>
      </c>
      <c r="K175">
        <f>2.46512885076923*(0.3)</f>
        <v>0.73953865523076912</v>
      </c>
      <c r="L175">
        <f>1.20791313687692*(0.3)</f>
        <v>0.36237394106307685</v>
      </c>
      <c r="M175">
        <f>2.71164173584615*(0.3)</f>
        <v>0.81349252075384615</v>
      </c>
      <c r="N175">
        <f>2.46512885076923*(0.3)</f>
        <v>0.73953865523076912</v>
      </c>
    </row>
    <row r="176" spans="1:14" x14ac:dyDescent="0.25">
      <c r="A176">
        <f>0.523176675*(0.3)</f>
        <v>0.15695300249999999</v>
      </c>
      <c r="B176">
        <f>-0.0402443596153846*(0.3)</f>
        <v>-1.2073307884615383E-2</v>
      </c>
      <c r="C176">
        <f>-0.120733078846154*(0.3)</f>
        <v>-3.6219923653846152E-2</v>
      </c>
      <c r="D176">
        <f>-0.0402443596153846*(0.3)</f>
        <v>-1.2073307884615383E-2</v>
      </c>
      <c r="E176">
        <f>-0.0402443596153846*(0.3)</f>
        <v>-1.2073307884615383E-2</v>
      </c>
      <c r="F176">
        <f>-0.0402443596153846*(0.3)</f>
        <v>-1.2073307884615383E-2</v>
      </c>
      <c r="G176">
        <f>-0.0241466157692308*(0.3)</f>
        <v>-7.2439847307692292E-3</v>
      </c>
      <c r="H176">
        <f>-0.0402443596153846*(0.3)</f>
        <v>-1.2073307884615383E-2</v>
      </c>
      <c r="I176">
        <f>-0.0402443596153846*(0.3)</f>
        <v>-1.2073307884615383E-2</v>
      </c>
      <c r="J176">
        <f>0.00804887192307692*(0.3)</f>
        <v>2.4146615769230764E-3</v>
      </c>
      <c r="K176">
        <f>-0.0402443596153846*(0.3)</f>
        <v>-1.2073307884615383E-2</v>
      </c>
      <c r="L176">
        <f>-0.0197197362115385*(0.3)</f>
        <v>-5.9159208634615374E-3</v>
      </c>
      <c r="M176">
        <f>-0.0442687955769231*(0.3)</f>
        <v>-1.3280638673076923E-2</v>
      </c>
      <c r="N176">
        <f>-0.0402443596153846*(0.3)</f>
        <v>-1.2073307884615383E-2</v>
      </c>
    </row>
    <row r="177" spans="1:14" x14ac:dyDescent="0.25">
      <c r="A177">
        <f>-8.454595825*(0.3)</f>
        <v>-2.5363787475000001</v>
      </c>
      <c r="B177">
        <f>0.650353525*(0.3)</f>
        <v>0.19510605749999999</v>
      </c>
      <c r="C177">
        <f>1.951060575*(0.3)</f>
        <v>0.58531817249999996</v>
      </c>
      <c r="D177">
        <f>0.650353525*(0.3)</f>
        <v>0.19510605749999999</v>
      </c>
      <c r="E177">
        <f>0.650353525*(0.3)</f>
        <v>0.19510605749999999</v>
      </c>
      <c r="F177">
        <f>0.650353525*(0.3)</f>
        <v>0.19510605749999999</v>
      </c>
      <c r="G177">
        <f>0.390212115*(0.3)</f>
        <v>0.11706363449999999</v>
      </c>
      <c r="H177">
        <f>0.650353525*(0.3)</f>
        <v>0.19510605749999999</v>
      </c>
      <c r="I177">
        <f>0.650353525*(0.3)</f>
        <v>0.19510605749999999</v>
      </c>
      <c r="J177">
        <f>-0.130070705*(0.3)</f>
        <v>-3.9021211499999993E-2</v>
      </c>
      <c r="K177">
        <f>0.650353525*(0.3)</f>
        <v>0.19510605749999999</v>
      </c>
      <c r="L177">
        <f>0.31867322725*(0.3)</f>
        <v>9.5601968174999982E-2</v>
      </c>
      <c r="M177">
        <f>0.7153888775*(0.3)</f>
        <v>0.21461666325000001</v>
      </c>
      <c r="N177">
        <f>0.650353525*(0.3)</f>
        <v>0.19510605749999999</v>
      </c>
    </row>
    <row r="178" spans="1:14" x14ac:dyDescent="0.25">
      <c r="A178">
        <f>-0.261189705*(0.3)</f>
        <v>-7.8356911500000001E-2</v>
      </c>
      <c r="B178">
        <f>0.0200915157692308*(0.3)</f>
        <v>6.0274547307692305E-3</v>
      </c>
      <c r="C178">
        <f>0.0602745473076923*(0.3)</f>
        <v>1.8082364192307694E-2</v>
      </c>
      <c r="D178">
        <f>0.0200915157692308*(0.3)</f>
        <v>6.0274547307692305E-3</v>
      </c>
      <c r="E178">
        <f>0.0200915157692308*(0.3)</f>
        <v>6.0274547307692305E-3</v>
      </c>
      <c r="F178">
        <f>0.0200915157692308*(0.3)</f>
        <v>6.0274547307692305E-3</v>
      </c>
      <c r="G178">
        <f>0.0120549094615385*(0.3)</f>
        <v>3.616472838461538E-3</v>
      </c>
      <c r="H178">
        <f>0.0200915157692308*(0.3)</f>
        <v>6.0274547307692305E-3</v>
      </c>
      <c r="I178">
        <f>0.0200915157692308*(0.3)</f>
        <v>6.0274547307692305E-3</v>
      </c>
      <c r="J178">
        <f>-0.00401830315384615*(0.3)</f>
        <v>-1.2054909461538458E-3</v>
      </c>
      <c r="K178">
        <f>0.0200915157692308*(0.3)</f>
        <v>6.0274547307692305E-3</v>
      </c>
      <c r="L178">
        <f>0.00984484272692308*(0.3)</f>
        <v>2.9534528180769231E-3</v>
      </c>
      <c r="M178">
        <f>0.0221006673461538*(0.3)</f>
        <v>6.6302002038461545E-3</v>
      </c>
      <c r="N178">
        <f>0.0200915157692308*(0.3)</f>
        <v>6.0274547307692305E-3</v>
      </c>
    </row>
    <row r="179" spans="1:14" x14ac:dyDescent="0.25">
      <c r="A179">
        <f>-11.98606721*(0.3)</f>
        <v>-3.595820163</v>
      </c>
      <c r="B179">
        <f>0.92200517*(0.3)</f>
        <v>0.276601551</v>
      </c>
      <c r="C179">
        <f>2.76601551*(0.3)</f>
        <v>0.82980465299999995</v>
      </c>
      <c r="D179">
        <f>0.92200517*(0.3)</f>
        <v>0.276601551</v>
      </c>
      <c r="E179">
        <f>0.92200517*(0.3)</f>
        <v>0.276601551</v>
      </c>
      <c r="F179">
        <f>0.92200517*(0.3)</f>
        <v>0.276601551</v>
      </c>
      <c r="G179">
        <f>0.553203102*(0.3)</f>
        <v>0.1659609306</v>
      </c>
      <c r="H179">
        <f>0.92200517*(0.3)</f>
        <v>0.276601551</v>
      </c>
      <c r="I179">
        <f>0.92200517*(0.3)</f>
        <v>0.276601551</v>
      </c>
      <c r="J179">
        <f>-0.184401034*(0.3)</f>
        <v>-5.5320310199999986E-2</v>
      </c>
      <c r="K179">
        <f>0.92200517*(0.3)</f>
        <v>0.276601551</v>
      </c>
      <c r="L179">
        <f>0.4517825333*(0.3)</f>
        <v>0.13553475999</v>
      </c>
      <c r="M179">
        <f>1.014205687*(0.3)</f>
        <v>0.30426170609999997</v>
      </c>
      <c r="N179">
        <f>0.92200517*(0.3)</f>
        <v>0.276601551</v>
      </c>
    </row>
    <row r="180" spans="1:14" x14ac:dyDescent="0.25">
      <c r="A180">
        <f>-1.191981549*(0.3)</f>
        <v>-0.3575944647</v>
      </c>
      <c r="B180">
        <f>0.0916908883846154*(0.3)</f>
        <v>2.7507266515384616E-2</v>
      </c>
      <c r="C180">
        <f>0.275072665153846*(0.3)</f>
        <v>8.2521799546153865E-2</v>
      </c>
      <c r="D180">
        <f>0.0916908883846154*(0.3)</f>
        <v>2.7507266515384616E-2</v>
      </c>
      <c r="E180">
        <f>0.0916908883846154*(0.3)</f>
        <v>2.7507266515384616E-2</v>
      </c>
      <c r="F180">
        <f>0.0916908883846154*(0.3)</f>
        <v>2.7507266515384616E-2</v>
      </c>
      <c r="G180">
        <f>0.0550145330307692*(0.3)</f>
        <v>1.650435990923077E-2</v>
      </c>
      <c r="H180">
        <f>0.0916908883846154*(0.3)</f>
        <v>2.7507266515384616E-2</v>
      </c>
      <c r="I180">
        <f>0.0916908883846154*(0.3)</f>
        <v>2.7507266515384616E-2</v>
      </c>
      <c r="J180">
        <f>-0.0183381776769231*(0.3)</f>
        <v>-5.501453303076922E-3</v>
      </c>
      <c r="K180">
        <f>0.0916908883846154*(0.3)</f>
        <v>2.7507266515384616E-2</v>
      </c>
      <c r="L180">
        <f>0.0449285353084615*(0.3)</f>
        <v>1.3478560592538462E-2</v>
      </c>
      <c r="M180">
        <f>0.100859977223077*(0.3)</f>
        <v>3.025799316692308E-2</v>
      </c>
      <c r="N180">
        <f>0.0916908883846154*(0.3)</f>
        <v>2.7507266515384616E-2</v>
      </c>
    </row>
    <row r="181" spans="1:14" x14ac:dyDescent="0.25">
      <c r="A181">
        <f>-15.71044961*(0.3)</f>
        <v>-4.7131348829999995</v>
      </c>
      <c r="B181">
        <f>1.20849612384615*(0.3)</f>
        <v>0.36254883715384612</v>
      </c>
      <c r="C181">
        <f>3.62548837153846*(0.3)</f>
        <v>1.0876465114615383</v>
      </c>
      <c r="D181">
        <f>1.20849612384615*(0.3)</f>
        <v>0.36254883715384612</v>
      </c>
      <c r="E181">
        <f>1.20849612384615*(0.3)</f>
        <v>0.36254883715384612</v>
      </c>
      <c r="F181">
        <f>1.20849612384615*(0.3)</f>
        <v>0.36254883715384612</v>
      </c>
      <c r="G181">
        <f>0.725097674307692*(0.3)</f>
        <v>0.21752930229230766</v>
      </c>
      <c r="H181">
        <f>1.20849612384615*(0.3)</f>
        <v>0.36254883715384612</v>
      </c>
      <c r="I181">
        <f>1.20849612384615*(0.3)</f>
        <v>0.36254883715384612</v>
      </c>
      <c r="J181">
        <f>-0.241699224769231*(0.3)</f>
        <v>-7.2509767430769201E-2</v>
      </c>
      <c r="K181">
        <f>1.20849612384615*(0.3)</f>
        <v>0.36254883715384612</v>
      </c>
      <c r="L181">
        <f>0.592163100684615*(0.3)</f>
        <v>0.17764893020538458</v>
      </c>
      <c r="M181">
        <f>1.32934573623077*(0.3)</f>
        <v>0.39880372086923077</v>
      </c>
      <c r="N181">
        <f>1.20849612384615*(0.3)</f>
        <v>0.36254883715384612</v>
      </c>
    </row>
    <row r="182" spans="1:14" x14ac:dyDescent="0.25">
      <c r="A182">
        <f>-1.962511247*(0.3)</f>
        <v>-0.58875337409999995</v>
      </c>
      <c r="B182">
        <f>0.150962403615385*(0.3)</f>
        <v>4.5288721084615381E-2</v>
      </c>
      <c r="C182">
        <f>0.452887210846154*(0.3)</f>
        <v>0.13586616325384612</v>
      </c>
      <c r="D182">
        <f>0.150962403615385*(0.3)</f>
        <v>4.5288721084615381E-2</v>
      </c>
      <c r="E182">
        <f>0.150962403615385*(0.3)</f>
        <v>4.5288721084615381E-2</v>
      </c>
      <c r="F182">
        <f>0.150962403615385*(0.3)</f>
        <v>4.5288721084615381E-2</v>
      </c>
      <c r="G182">
        <f>0.0905774421692308*(0.3)</f>
        <v>2.7173232650769229E-2</v>
      </c>
      <c r="H182">
        <f>0.150962403615385*(0.3)</f>
        <v>4.5288721084615381E-2</v>
      </c>
      <c r="I182">
        <f>0.150962403615385*(0.3)</f>
        <v>4.5288721084615381E-2</v>
      </c>
      <c r="J182">
        <f>-0.0301924807230769*(0.3)</f>
        <v>-9.0577442169230728E-3</v>
      </c>
      <c r="K182">
        <f>0.150962403615385*(0.3)</f>
        <v>4.5288721084615381E-2</v>
      </c>
      <c r="L182">
        <f>0.0739715777715385*(0.3)</f>
        <v>2.2191473331461535E-2</v>
      </c>
      <c r="M182">
        <f>0.166058643976923*(0.3)</f>
        <v>4.9817593193076923E-2</v>
      </c>
      <c r="N182">
        <f>0.150962403615385*(0.3)</f>
        <v>4.5288721084615381E-2</v>
      </c>
    </row>
    <row r="183" spans="1:14" x14ac:dyDescent="0.25">
      <c r="A183">
        <f>-21.717172*(0.3)</f>
        <v>-6.5151516000000003</v>
      </c>
      <c r="B183">
        <f>1.67055169230769*(0.3)</f>
        <v>0.50116550769230772</v>
      </c>
      <c r="C183">
        <f>5.01165507692308*(0.3)</f>
        <v>1.5034965230769231</v>
      </c>
      <c r="D183">
        <f>1.67055169230769*(0.3)</f>
        <v>0.50116550769230772</v>
      </c>
      <c r="E183">
        <f>1.67055169230769*(0.3)</f>
        <v>0.50116550769230772</v>
      </c>
      <c r="F183">
        <f>1.67055169230769*(0.3)</f>
        <v>0.50116550769230772</v>
      </c>
      <c r="G183">
        <f>1.00233101538462*(0.3)</f>
        <v>0.30069930461538463</v>
      </c>
      <c r="H183">
        <f>1.67055169230769*(0.3)</f>
        <v>0.50116550769230772</v>
      </c>
      <c r="I183">
        <f>1.67055169230769*(0.3)</f>
        <v>0.50116550769230772</v>
      </c>
      <c r="J183">
        <f>-0.334110338461538*(0.3)</f>
        <v>-0.10023310153846153</v>
      </c>
      <c r="K183">
        <f>1.67055169230769*(0.3)</f>
        <v>0.50116550769230772</v>
      </c>
      <c r="L183">
        <f>0.818570329230769*(0.3)</f>
        <v>0.24557109876923075</v>
      </c>
      <c r="M183">
        <f>1.83760686153846*(0.3)</f>
        <v>0.55128205846153855</v>
      </c>
      <c r="N183">
        <f>1.67055169230769*(0.3)</f>
        <v>0.50116550769230772</v>
      </c>
    </row>
    <row r="184" spans="1:14" x14ac:dyDescent="0.25">
      <c r="A184">
        <f>-0.564831484*(0.3)</f>
        <v>-0.16944944520000002</v>
      </c>
      <c r="B184">
        <f>0.0434485756923077*(0.3)</f>
        <v>1.3034572707692307E-2</v>
      </c>
      <c r="C184">
        <f>0.130345727076923*(0.3)</f>
        <v>3.9103718123076919E-2</v>
      </c>
      <c r="D184">
        <f>0.0434485756923077*(0.3)</f>
        <v>1.3034572707692307E-2</v>
      </c>
      <c r="E184">
        <f>0.0434485756923077*(0.3)</f>
        <v>1.3034572707692307E-2</v>
      </c>
      <c r="F184">
        <f>0.0434485756923077*(0.3)</f>
        <v>1.3034572707692307E-2</v>
      </c>
      <c r="G184">
        <f>0.0260691454153846*(0.3)</f>
        <v>7.8207436246153835E-3</v>
      </c>
      <c r="H184">
        <f>0.0434485756923077*(0.3)</f>
        <v>1.3034572707692307E-2</v>
      </c>
      <c r="I184">
        <f>0.0434485756923077*(0.3)</f>
        <v>1.3034572707692307E-2</v>
      </c>
      <c r="J184">
        <f>-0.00868971513846154*(0.3)</f>
        <v>-2.6069145415384609E-3</v>
      </c>
      <c r="K184">
        <f>0.0434485756923077*(0.3)</f>
        <v>1.3034572707692307E-2</v>
      </c>
      <c r="L184">
        <f>0.0212898020892308*(0.3)</f>
        <v>6.3869406267692301E-3</v>
      </c>
      <c r="M184">
        <f>0.0477934332615385*(0.3)</f>
        <v>1.433802997846154E-2</v>
      </c>
      <c r="N184">
        <f>0.0434485756923077*(0.3)</f>
        <v>1.3034572707692307E-2</v>
      </c>
    </row>
    <row r="185" spans="1:14" x14ac:dyDescent="0.25">
      <c r="A185">
        <f>-23.31686392*(0.3)</f>
        <v>-6.9950591759999998</v>
      </c>
      <c r="B185">
        <f>1.79360491692308*(0.3)</f>
        <v>0.53808147507692305</v>
      </c>
      <c r="C185">
        <f>5.38081475076923*(0.3)</f>
        <v>1.6142444252307693</v>
      </c>
      <c r="D185">
        <f>1.79360491692308*(0.3)</f>
        <v>0.53808147507692305</v>
      </c>
      <c r="E185">
        <f>1.79360491692308*(0.3)</f>
        <v>0.53808147507692305</v>
      </c>
      <c r="F185">
        <f>1.79360491692308*(0.3)</f>
        <v>0.53808147507692305</v>
      </c>
      <c r="G185">
        <f>1.07616295015385*(0.3)</f>
        <v>0.32284888504615383</v>
      </c>
      <c r="H185">
        <f>1.79360491692308*(0.3)</f>
        <v>0.53808147507692305</v>
      </c>
      <c r="I185">
        <f>1.79360491692308*(0.3)</f>
        <v>0.53808147507692305</v>
      </c>
      <c r="J185">
        <f>-0.358720983384615*(0.3)</f>
        <v>-0.10761629501538458</v>
      </c>
      <c r="K185">
        <f>1.79360491692308*(0.3)</f>
        <v>0.53808147507692305</v>
      </c>
      <c r="L185">
        <f>0.878866409292308*(0.3)</f>
        <v>0.26365992278769229</v>
      </c>
      <c r="M185">
        <f>1.97296540861538*(0.3)</f>
        <v>0.59188962258461542</v>
      </c>
      <c r="N185">
        <f>1.79360491692308*(0.3)</f>
        <v>0.53808147507692305</v>
      </c>
    </row>
    <row r="186" spans="1:14" x14ac:dyDescent="0.25">
      <c r="A186">
        <f>1.828371458*(0.3)</f>
        <v>0.54851143739999997</v>
      </c>
      <c r="B186">
        <f>-0.140643958307692*(0.3)</f>
        <v>-4.2193187492307688E-2</v>
      </c>
      <c r="C186">
        <f>-0.421931874923077*(0.3)</f>
        <v>-0.12657956247692306</v>
      </c>
      <c r="D186">
        <f>-0.140643958307692*(0.3)</f>
        <v>-4.2193187492307688E-2</v>
      </c>
      <c r="E186">
        <f>-0.140643958307692*(0.3)</f>
        <v>-4.2193187492307688E-2</v>
      </c>
      <c r="F186">
        <f>-0.140643958307692*(0.3)</f>
        <v>-4.2193187492307688E-2</v>
      </c>
      <c r="G186">
        <f>-0.0843863749846154*(0.3)</f>
        <v>-2.5315912495384611E-2</v>
      </c>
      <c r="H186">
        <f>-0.140643958307692*(0.3)</f>
        <v>-4.2193187492307688E-2</v>
      </c>
      <c r="I186">
        <f>-0.140643958307692*(0.3)</f>
        <v>-4.2193187492307688E-2</v>
      </c>
      <c r="J186">
        <f>0.0281287916615385*(0.3)</f>
        <v>8.4386374984615348E-3</v>
      </c>
      <c r="K186">
        <f>-0.140643958307692*(0.3)</f>
        <v>-4.2193187492307688E-2</v>
      </c>
      <c r="L186">
        <f>-0.0689155395707692*(0.3)</f>
        <v>-2.0674661871230765E-2</v>
      </c>
      <c r="M186">
        <f>-0.154708354138462*(0.3)</f>
        <v>-4.6412506241538462E-2</v>
      </c>
      <c r="N186">
        <f>-0.140643958307692*(0.3)</f>
        <v>-4.2193187492307688E-2</v>
      </c>
    </row>
    <row r="187" spans="1:14" x14ac:dyDescent="0.25">
      <c r="A187">
        <f>-30.57640386*(0.3)</f>
        <v>-9.1729211579999994</v>
      </c>
      <c r="B187">
        <f>2.35203106615385*(0.3)</f>
        <v>0.70560931984615383</v>
      </c>
      <c r="C187">
        <f>7.05609319846154*(0.3)</f>
        <v>2.1168279595384614</v>
      </c>
      <c r="D187">
        <f>2.35203106615385*(0.3)</f>
        <v>0.70560931984615383</v>
      </c>
      <c r="E187">
        <f>2.35203106615385*(0.3)</f>
        <v>0.70560931984615383</v>
      </c>
      <c r="F187">
        <f>2.35203106615385*(0.3)</f>
        <v>0.70560931984615383</v>
      </c>
      <c r="G187">
        <f>1.41121863969231*(0.3)</f>
        <v>0.4233655919076923</v>
      </c>
      <c r="H187">
        <f>2.35203106615385*(0.3)</f>
        <v>0.70560931984615383</v>
      </c>
      <c r="I187">
        <f>2.35203106615385*(0.3)</f>
        <v>0.70560931984615383</v>
      </c>
      <c r="J187">
        <f>-0.470406213230769*(0.3)</f>
        <v>-0.14112186396923074</v>
      </c>
      <c r="K187">
        <f>2.35203106615385*(0.3)</f>
        <v>0.70560931984615383</v>
      </c>
      <c r="L187">
        <f>1.15249522241538*(0.3)</f>
        <v>0.34574856672461535</v>
      </c>
      <c r="M187">
        <f>2.58723417276923*(0.3)</f>
        <v>0.77617025183076926</v>
      </c>
      <c r="N187">
        <f>2.35203106615385*(0.3)</f>
        <v>0.70560931984615383</v>
      </c>
    </row>
    <row r="188" spans="1:14" x14ac:dyDescent="0.25">
      <c r="A188">
        <f>-0.034201519*(0.3)</f>
        <v>-1.0260455699999999E-2</v>
      </c>
      <c r="B188">
        <f>0.00263088607692308*(0.3)</f>
        <v>7.8926582307692306E-4</v>
      </c>
      <c r="C188">
        <f>0.00789265823076923*(0.3)</f>
        <v>2.3677974692307689E-3</v>
      </c>
      <c r="D188">
        <f>0.00263088607692308*(0.3)</f>
        <v>7.8926582307692306E-4</v>
      </c>
      <c r="E188">
        <f>0.00263088607692308*(0.3)</f>
        <v>7.8926582307692306E-4</v>
      </c>
      <c r="F188">
        <f>0.00263088607692308*(0.3)</f>
        <v>7.8926582307692306E-4</v>
      </c>
      <c r="G188">
        <f>0.00157853164615385*(0.3)</f>
        <v>4.7355949384615383E-4</v>
      </c>
      <c r="H188">
        <f>0.00263088607692308*(0.3)</f>
        <v>7.8926582307692306E-4</v>
      </c>
      <c r="I188">
        <f>0.00263088607692308*(0.3)</f>
        <v>7.8926582307692306E-4</v>
      </c>
      <c r="J188">
        <f>-0.000526177215384615*(0.3)</f>
        <v>-1.5785316461538456E-4</v>
      </c>
      <c r="K188">
        <f>0.00263088607692308*(0.3)</f>
        <v>7.8926582307692306E-4</v>
      </c>
      <c r="L188">
        <f>0.00128913417769231*(0.3)</f>
        <v>3.8674025330769237E-4</v>
      </c>
      <c r="M188">
        <f>0.00289397468461538*(0.3)</f>
        <v>8.6819240538461547E-4</v>
      </c>
      <c r="N188">
        <f>0.00263088607692308*(0.3)</f>
        <v>7.8926582307692306E-4</v>
      </c>
    </row>
    <row r="189" spans="1:14" x14ac:dyDescent="0.25">
      <c r="A189">
        <f>-36.50272926*(0.3)</f>
        <v>-10.950818778</v>
      </c>
      <c r="B189">
        <f>2.80790225076923*(0.3)</f>
        <v>0.84237067523076925</v>
      </c>
      <c r="C189">
        <f>8.42370675230769*(0.3)</f>
        <v>2.5271120256923076</v>
      </c>
      <c r="D189">
        <f>2.80790225076923*(0.3)</f>
        <v>0.84237067523076925</v>
      </c>
      <c r="E189">
        <f>2.80790225076923*(0.3)</f>
        <v>0.84237067523076925</v>
      </c>
      <c r="F189">
        <f>2.80790225076923*(0.3)</f>
        <v>0.84237067523076925</v>
      </c>
      <c r="G189">
        <f>1.68474135046154*(0.3)</f>
        <v>0.50542240513846148</v>
      </c>
      <c r="H189">
        <f>2.80790225076923*(0.3)</f>
        <v>0.84237067523076925</v>
      </c>
      <c r="I189">
        <f>2.80790225076923*(0.3)</f>
        <v>0.84237067523076925</v>
      </c>
      <c r="J189">
        <f>-0.561580450153846*(0.3)</f>
        <v>-0.1684741350461538</v>
      </c>
      <c r="K189">
        <f>2.80790225076923*(0.3)</f>
        <v>0.84237067523076925</v>
      </c>
      <c r="L189">
        <f>1.37587210287692*(0.3)</f>
        <v>0.41276163086307693</v>
      </c>
      <c r="M189">
        <f>3.08869247584615*(0.3)</f>
        <v>0.92660774275384628</v>
      </c>
      <c r="N189">
        <f>2.80790225076923*(0.3)</f>
        <v>0.84237067523076925</v>
      </c>
    </row>
    <row r="190" spans="1:14" x14ac:dyDescent="0.25">
      <c r="A190">
        <f>0.135494271*(0.3)</f>
        <v>4.0648281299999998E-2</v>
      </c>
      <c r="B190">
        <f>-0.0104226362307692*(0.3)</f>
        <v>-3.1267908692307693E-3</v>
      </c>
      <c r="C190">
        <f>-0.0312679086923077*(0.3)</f>
        <v>-9.3803726076923076E-3</v>
      </c>
      <c r="D190">
        <f>-0.0104226362307692*(0.3)</f>
        <v>-3.1267908692307693E-3</v>
      </c>
      <c r="E190">
        <f>-0.0104226362307692*(0.3)</f>
        <v>-3.1267908692307693E-3</v>
      </c>
      <c r="F190">
        <f>-0.0104226362307692*(0.3)</f>
        <v>-3.1267908692307693E-3</v>
      </c>
      <c r="G190">
        <f>-0.00625358173846154*(0.3)</f>
        <v>-1.8760745215384614E-3</v>
      </c>
      <c r="H190">
        <f>-0.0104226362307692*(0.3)</f>
        <v>-3.1267908692307693E-3</v>
      </c>
      <c r="I190">
        <f>-0.0104226362307692*(0.3)</f>
        <v>-3.1267908692307693E-3</v>
      </c>
      <c r="J190">
        <f>0.00208452724615385*(0.3)</f>
        <v>6.2535817384615363E-4</v>
      </c>
      <c r="K190">
        <f>-0.0104226362307692*(0.3)</f>
        <v>-3.1267908692307693E-3</v>
      </c>
      <c r="L190">
        <f>-0.00510709175307692*(0.3)</f>
        <v>-1.5321275259230769E-3</v>
      </c>
      <c r="M190">
        <f>-0.0114648998538462*(0.3)</f>
        <v>-3.4394699561538463E-3</v>
      </c>
      <c r="N190">
        <f>-0.0104226362307692*(0.3)</f>
        <v>-3.1267908692307693E-3</v>
      </c>
    </row>
    <row r="191" spans="1:14" x14ac:dyDescent="0.25">
      <c r="A191">
        <f>-41.75980739*(0.3)</f>
        <v>-12.527942217</v>
      </c>
      <c r="B191">
        <f>3.21229287615385*(0.3)</f>
        <v>0.96368786284615382</v>
      </c>
      <c r="C191">
        <f>9.63687862846154*(0.3)</f>
        <v>2.8910635885384615</v>
      </c>
      <c r="D191">
        <f>3.21229287615385*(0.3)</f>
        <v>0.96368786284615382</v>
      </c>
      <c r="E191">
        <f>3.21229287615385*(0.3)</f>
        <v>0.96368786284615382</v>
      </c>
      <c r="F191">
        <f>3.21229287615385*(0.3)</f>
        <v>0.96368786284615382</v>
      </c>
      <c r="G191">
        <f>1.92737572569231*(0.3)</f>
        <v>0.57821271770769223</v>
      </c>
      <c r="H191">
        <f>3.21229287615385*(0.3)</f>
        <v>0.96368786284615382</v>
      </c>
      <c r="I191">
        <f>3.21229287615385*(0.3)</f>
        <v>0.96368786284615382</v>
      </c>
      <c r="J191">
        <f>-0.642458575230769*(0.3)</f>
        <v>-0.19273757256923071</v>
      </c>
      <c r="K191">
        <f>3.21229287615385*(0.3)</f>
        <v>0.96368786284615382</v>
      </c>
      <c r="L191">
        <f>1.57402350931538*(0.3)</f>
        <v>0.47220705279461533</v>
      </c>
      <c r="M191">
        <f>3.53352216376923*(0.3)</f>
        <v>1.0600566491307692</v>
      </c>
      <c r="N191">
        <f>3.21229287615385*(0.3)</f>
        <v>0.96368786284615382</v>
      </c>
    </row>
    <row r="192" spans="1:14" x14ac:dyDescent="0.25">
      <c r="A192">
        <f>1.163606278*(0.3)</f>
        <v>0.34908188340000001</v>
      </c>
      <c r="B192">
        <f>-0.0895081752307692*(0.3)</f>
        <v>-2.6852452569230769E-2</v>
      </c>
      <c r="C192">
        <f>-0.268524525692308*(0.3)</f>
        <v>-8.0557357707692304E-2</v>
      </c>
      <c r="D192">
        <f>-0.0895081752307692*(0.3)</f>
        <v>-2.6852452569230769E-2</v>
      </c>
      <c r="E192">
        <f>-0.0895081752307692*(0.3)</f>
        <v>-2.6852452569230769E-2</v>
      </c>
      <c r="F192">
        <f>-0.0895081752307692*(0.3)</f>
        <v>-2.6852452569230769E-2</v>
      </c>
      <c r="G192">
        <f>-0.0537049051384615*(0.3)</f>
        <v>-1.6111471541538462E-2</v>
      </c>
      <c r="H192">
        <f>-0.0895081752307692*(0.3)</f>
        <v>-2.6852452569230769E-2</v>
      </c>
      <c r="I192">
        <f>-0.0895081752307692*(0.3)</f>
        <v>-2.6852452569230769E-2</v>
      </c>
      <c r="J192">
        <f>0.0179016350461538*(0.3)</f>
        <v>5.3704905138461526E-3</v>
      </c>
      <c r="K192">
        <f>-0.0895081752307692*(0.3)</f>
        <v>-2.6852452569230769E-2</v>
      </c>
      <c r="L192">
        <f>-0.0438590058630769*(0.3)</f>
        <v>-1.3157701758923076E-2</v>
      </c>
      <c r="M192">
        <f>-0.0984589927538462*(0.3)</f>
        <v>-2.9537697826153848E-2</v>
      </c>
      <c r="N192">
        <f>-0.0895081752307692*(0.3)</f>
        <v>-2.6852452569230769E-2</v>
      </c>
    </row>
    <row r="193" spans="1:14" x14ac:dyDescent="0.25">
      <c r="A193">
        <f>44.55564005*(0.3)</f>
        <v>13.366692015</v>
      </c>
      <c r="B193">
        <f>-3.42735692692308*(0.3)</f>
        <v>-1.028207078076923</v>
      </c>
      <c r="C193">
        <f>-10.2820707807692*(0.3)</f>
        <v>-3.0846212342307693</v>
      </c>
      <c r="D193">
        <f>-3.42735692692308*(0.3)</f>
        <v>-1.028207078076923</v>
      </c>
      <c r="E193">
        <f>-3.42735692692308*(0.3)</f>
        <v>-1.028207078076923</v>
      </c>
      <c r="F193">
        <f>-3.42735692692308*(0.3)</f>
        <v>-1.028207078076923</v>
      </c>
      <c r="G193">
        <f>-2.05641415615385*(0.3)</f>
        <v>-0.61692424684615377</v>
      </c>
      <c r="H193">
        <f>-3.42735692692308*(0.3)</f>
        <v>-1.028207078076923</v>
      </c>
      <c r="I193">
        <f>-3.42735692692308*(0.3)</f>
        <v>-1.028207078076923</v>
      </c>
      <c r="J193">
        <f>0.685471385384615*(0.3)</f>
        <v>0.20564141561538457</v>
      </c>
      <c r="K193">
        <f>-3.42735692692308*(0.3)</f>
        <v>-1.028207078076923</v>
      </c>
      <c r="L193">
        <f>-1.67940489419231*(0.3)</f>
        <v>-0.50382146825769225</v>
      </c>
      <c r="M193">
        <f>-3.77009261961539*(0.3)</f>
        <v>-1.1310277858846156</v>
      </c>
      <c r="N193">
        <f>-3.42735692692308*(0.3)</f>
        <v>-1.028207078076923</v>
      </c>
    </row>
    <row r="194" spans="1:14" x14ac:dyDescent="0.25">
      <c r="A194">
        <f>794.569223*(0.3)</f>
        <v>238.37076689999998</v>
      </c>
      <c r="B194">
        <f>-61.1207094615385*(0.3)</f>
        <v>-18.336212838461538</v>
      </c>
      <c r="C194">
        <f>-183.362128384615*(0.3)</f>
        <v>-55.008638515384611</v>
      </c>
      <c r="D194">
        <f>-61.1207094615385*(0.3)</f>
        <v>-18.336212838461538</v>
      </c>
      <c r="E194">
        <f>-61.1207094615385*(0.3)</f>
        <v>-18.336212838461538</v>
      </c>
      <c r="F194">
        <f>-61.1207094615385*(0.3)</f>
        <v>-18.336212838461538</v>
      </c>
      <c r="G194">
        <f>-36.6724256769231*(0.3)</f>
        <v>-11.001727703076922</v>
      </c>
      <c r="H194">
        <f>-61.1207094615385*(0.3)</f>
        <v>-18.336212838461538</v>
      </c>
      <c r="I194">
        <f>-61.1207094615385*(0.3)</f>
        <v>-18.336212838461538</v>
      </c>
      <c r="J194">
        <f>12.2241418923077*(0.3)</f>
        <v>3.6672425676923064</v>
      </c>
      <c r="K194">
        <f>-61.1207094615385*(0.3)</f>
        <v>-18.336212838461538</v>
      </c>
      <c r="L194">
        <f>-29.9491476361538*(0.3)</f>
        <v>-8.9847442908461534</v>
      </c>
      <c r="M194">
        <f>-67.2327804076923*(0.3)</f>
        <v>-20.169834122307694</v>
      </c>
      <c r="N194">
        <f>-61.1207094615385*(0.3)</f>
        <v>-18.336212838461538</v>
      </c>
    </row>
    <row r="195" spans="1:14" x14ac:dyDescent="0.25">
      <c r="A195">
        <f>62.86668521*(0.3)</f>
        <v>18.860005562999998</v>
      </c>
      <c r="B195">
        <f>-4.83589886230769*(0.3)</f>
        <v>-1.4507696586923076</v>
      </c>
      <c r="C195">
        <f>-14.5076965869231*(0.3)</f>
        <v>-4.3523089760769231</v>
      </c>
      <c r="D195">
        <f>-4.83589886230769*(0.3)</f>
        <v>-1.4507696586923076</v>
      </c>
      <c r="E195">
        <f>-4.83589886230769*(0.3)</f>
        <v>-1.4507696586923076</v>
      </c>
      <c r="F195">
        <f>-4.83589886230769*(0.3)</f>
        <v>-1.4507696586923076</v>
      </c>
      <c r="G195">
        <f>-2.90153931738462*(0.3)</f>
        <v>-0.87046179521538447</v>
      </c>
      <c r="H195">
        <f>-4.83589886230769*(0.3)</f>
        <v>-1.4507696586923076</v>
      </c>
      <c r="I195">
        <f>-4.83589886230769*(0.3)</f>
        <v>-1.4507696586923076</v>
      </c>
      <c r="J195">
        <f>0.967179772461538*(0.3)</f>
        <v>0.29015393173846143</v>
      </c>
      <c r="K195">
        <f>-4.83589886230769*(0.3)</f>
        <v>-1.4507696586923076</v>
      </c>
      <c r="L195">
        <f>-2.36959044253077*(0.3)</f>
        <v>-0.7108771327592307</v>
      </c>
      <c r="M195">
        <f>-5.31948874853846*(0.3)</f>
        <v>-1.5958466245615386</v>
      </c>
      <c r="N195">
        <f>-4.83589886230769*(0.3)</f>
        <v>-1.4507696586923076</v>
      </c>
    </row>
    <row r="196" spans="1:14" x14ac:dyDescent="0.25">
      <c r="A196">
        <f>1070.143896*(0.3)</f>
        <v>321.04316879999999</v>
      </c>
      <c r="B196">
        <f>-82.3187612307692*(0.3)</f>
        <v>-24.695628369230771</v>
      </c>
      <c r="C196">
        <f>-246.956283692308*(0.3)</f>
        <v>-74.086885107692311</v>
      </c>
      <c r="D196">
        <f>-82.3187612307692*(0.3)</f>
        <v>-24.695628369230771</v>
      </c>
      <c r="E196">
        <f>-82.3187612307692*(0.3)</f>
        <v>-24.695628369230771</v>
      </c>
      <c r="F196">
        <f>-82.3187612307692*(0.3)</f>
        <v>-24.695628369230771</v>
      </c>
      <c r="G196">
        <f>-49.3912567384615*(0.3)</f>
        <v>-14.817377021538462</v>
      </c>
      <c r="H196">
        <f>-82.3187612307692*(0.3)</f>
        <v>-24.695628369230771</v>
      </c>
      <c r="I196">
        <f>-82.3187612307692*(0.3)</f>
        <v>-24.695628369230771</v>
      </c>
      <c r="J196">
        <f>16.4637522461538*(0.3)</f>
        <v>4.9391256738461538</v>
      </c>
      <c r="K196">
        <f>-82.3187612307692*(0.3)</f>
        <v>-24.695628369230771</v>
      </c>
      <c r="L196">
        <f>-40.3361930030769*(0.3)</f>
        <v>-12.100857900923078</v>
      </c>
      <c r="M196">
        <f>-90.5506373538462*(0.3)</f>
        <v>-27.16519120615385</v>
      </c>
      <c r="N196">
        <f>-82.3187612307692*(0.3)</f>
        <v>-24.695628369230771</v>
      </c>
    </row>
    <row r="197" spans="1:14" x14ac:dyDescent="0.25">
      <c r="A197">
        <f>81.24837772*(0.3)</f>
        <v>24.374513315999998</v>
      </c>
      <c r="B197">
        <f>-6.24987520923077*(0.3)</f>
        <v>-1.8749625627692306</v>
      </c>
      <c r="C197">
        <f>-18.7496256276923*(0.3)</f>
        <v>-5.6248876883076919</v>
      </c>
      <c r="D197">
        <f>-6.24987520923077*(0.3)</f>
        <v>-1.8749625627692306</v>
      </c>
      <c r="E197">
        <f>-6.24987520923077*(0.3)</f>
        <v>-1.8749625627692306</v>
      </c>
      <c r="F197">
        <f>-6.24987520923077*(0.3)</f>
        <v>-1.8749625627692306</v>
      </c>
      <c r="G197">
        <f>-3.74992512553846*(0.3)</f>
        <v>-1.1249775376615383</v>
      </c>
      <c r="H197">
        <f>-6.24987520923077*(0.3)</f>
        <v>-1.8749625627692306</v>
      </c>
      <c r="I197">
        <f>-6.24987520923077*(0.3)</f>
        <v>-1.8749625627692306</v>
      </c>
      <c r="J197">
        <f>1.24997504184615*(0.3)</f>
        <v>0.37499251255384602</v>
      </c>
      <c r="K197">
        <f>-6.24987520923077*(0.3)</f>
        <v>-1.8749625627692306</v>
      </c>
      <c r="L197">
        <f>-3.06243885252308*(0.3)</f>
        <v>-0.91873165575692295</v>
      </c>
      <c r="M197">
        <f>-6.87486273015385*(0.3)</f>
        <v>-2.0624588190461539</v>
      </c>
      <c r="N197">
        <f>-6.24987520923077*(0.3)</f>
        <v>-1.8749625627692306</v>
      </c>
    </row>
    <row r="198" spans="1:14" x14ac:dyDescent="0.25">
      <c r="A198">
        <f>1347.766562*(0.3)</f>
        <v>404.32996859999997</v>
      </c>
      <c r="B198">
        <f>-103.674350923077*(0.3)</f>
        <v>-31.102305276923076</v>
      </c>
      <c r="C198">
        <f>-311.023052769231*(0.3)</f>
        <v>-93.306915830769228</v>
      </c>
      <c r="D198">
        <f>-103.674350923077*(0.3)</f>
        <v>-31.102305276923076</v>
      </c>
      <c r="E198">
        <f>-103.674350923077*(0.3)</f>
        <v>-31.102305276923076</v>
      </c>
      <c r="F198">
        <f>-103.674350923077*(0.3)</f>
        <v>-31.102305276923076</v>
      </c>
      <c r="G198">
        <f>-62.2046105538462*(0.3)</f>
        <v>-18.661383166153843</v>
      </c>
      <c r="H198">
        <f>-103.674350923077*(0.3)</f>
        <v>-31.102305276923076</v>
      </c>
      <c r="I198">
        <f>-103.674350923077*(0.3)</f>
        <v>-31.102305276923076</v>
      </c>
      <c r="J198">
        <f>20.7348701846154*(0.3)</f>
        <v>6.2204610553846145</v>
      </c>
      <c r="K198">
        <f>-103.674350923077*(0.3)</f>
        <v>-31.102305276923076</v>
      </c>
      <c r="L198">
        <f>-50.8004319523077*(0.3)</f>
        <v>-15.240129585692308</v>
      </c>
      <c r="M198">
        <f>-114.041786015385*(0.3)</f>
        <v>-34.212535804615385</v>
      </c>
      <c r="N198">
        <f>-103.674350923077*(0.3)</f>
        <v>-31.102305276923076</v>
      </c>
    </row>
    <row r="199" spans="1:14" x14ac:dyDescent="0.25">
      <c r="A199">
        <f>92.2769976*(0.3)</f>
        <v>27.68309928</v>
      </c>
      <c r="B199">
        <f>-7.09823058461538*(0.3)</f>
        <v>-2.1294691753846151</v>
      </c>
      <c r="C199">
        <f>-21.2946917538462*(0.3)</f>
        <v>-6.3884075261538458</v>
      </c>
      <c r="D199">
        <f>-7.09823058461538*(0.3)</f>
        <v>-2.1294691753846151</v>
      </c>
      <c r="E199">
        <f>-7.09823058461538*(0.3)</f>
        <v>-2.1294691753846151</v>
      </c>
      <c r="F199">
        <f>-7.09823058461538*(0.3)</f>
        <v>-2.1294691753846151</v>
      </c>
      <c r="G199">
        <f>-4.25893835076923*(0.3)</f>
        <v>-1.2776815052307691</v>
      </c>
      <c r="H199">
        <f>-7.09823058461538*(0.3)</f>
        <v>-2.1294691753846151</v>
      </c>
      <c r="I199">
        <f>-7.09823058461538*(0.3)</f>
        <v>-2.1294691753846151</v>
      </c>
      <c r="J199">
        <f>1.41964611692308*(0.3)</f>
        <v>0.42589383507692297</v>
      </c>
      <c r="K199">
        <f>-7.09823058461538*(0.3)</f>
        <v>-2.1294691753846151</v>
      </c>
      <c r="L199">
        <f>-3.47813298646154*(0.3)</f>
        <v>-1.0434398959384614</v>
      </c>
      <c r="M199">
        <f>-7.80805364307692*(0.3)</f>
        <v>-2.3424160929230768</v>
      </c>
      <c r="N199">
        <f>-7.09823058461538*(0.3)</f>
        <v>-2.1294691753846151</v>
      </c>
    </row>
    <row r="200" spans="1:14" x14ac:dyDescent="0.25">
      <c r="A200">
        <f>1630.759614*(0.3)</f>
        <v>489.22788420000001</v>
      </c>
      <c r="B200">
        <f>-125.443047230769*(0.3)</f>
        <v>-37.632914169230773</v>
      </c>
      <c r="C200">
        <f>-376.329141692308*(0.3)</f>
        <v>-112.8987425076923</v>
      </c>
      <c r="D200">
        <f>-125.443047230769*(0.3)</f>
        <v>-37.632914169230773</v>
      </c>
      <c r="E200">
        <f>-125.443047230769*(0.3)</f>
        <v>-37.632914169230773</v>
      </c>
      <c r="F200">
        <f>-125.443047230769*(0.3)</f>
        <v>-37.632914169230773</v>
      </c>
      <c r="G200">
        <f>-75.2658283384615*(0.3)</f>
        <v>-22.579748501538464</v>
      </c>
      <c r="H200">
        <f>-125.443047230769*(0.3)</f>
        <v>-37.632914169230773</v>
      </c>
      <c r="I200">
        <f>-125.443047230769*(0.3)</f>
        <v>-37.632914169230773</v>
      </c>
      <c r="J200">
        <f>25.0886094461538*(0.3)</f>
        <v>7.5265828338461525</v>
      </c>
      <c r="K200">
        <f>-125.443047230769*(0.3)</f>
        <v>-37.632914169230773</v>
      </c>
      <c r="L200">
        <f>-61.4670931430769*(0.3)</f>
        <v>-18.440127942923077</v>
      </c>
      <c r="M200">
        <f>-137.987351953846*(0.3)</f>
        <v>-41.396205586153847</v>
      </c>
      <c r="N200">
        <f>-125.443047230769*(0.3)</f>
        <v>-37.632914169230773</v>
      </c>
    </row>
    <row r="201" spans="1:14" x14ac:dyDescent="0.25">
      <c r="A201">
        <f>102.9962887*(0.3)</f>
        <v>30.898886609999998</v>
      </c>
      <c r="B201">
        <f>-7.92279143846154*(0.3)</f>
        <v>-2.3768374315384615</v>
      </c>
      <c r="C201">
        <f>-23.7683743153846*(0.3)</f>
        <v>-7.1305122946153849</v>
      </c>
      <c r="D201">
        <f>-7.92279143846154*(0.3)</f>
        <v>-2.3768374315384615</v>
      </c>
      <c r="E201">
        <f>-7.92279143846154*(0.3)</f>
        <v>-2.3768374315384615</v>
      </c>
      <c r="F201">
        <f>-7.92279143846154*(0.3)</f>
        <v>-2.3768374315384615</v>
      </c>
      <c r="G201">
        <f>-4.75367486307692*(0.3)</f>
        <v>-1.4261024589230769</v>
      </c>
      <c r="H201">
        <f>-7.92279143846154*(0.3)</f>
        <v>-2.3768374315384615</v>
      </c>
      <c r="I201">
        <f>-7.92279143846154*(0.3)</f>
        <v>-2.3768374315384615</v>
      </c>
      <c r="J201">
        <f>1.58455828769231*(0.3)</f>
        <v>0.47536748630769216</v>
      </c>
      <c r="K201">
        <f>-7.92279143846154*(0.3)</f>
        <v>-2.3768374315384615</v>
      </c>
      <c r="L201">
        <f>-3.88216780484615*(0.3)</f>
        <v>-1.164650341453846</v>
      </c>
      <c r="M201">
        <f>-8.71507058230769*(0.3)</f>
        <v>-2.6145211746923076</v>
      </c>
      <c r="N201">
        <f>-7.92279143846154*(0.3)</f>
        <v>-2.3768374315384615</v>
      </c>
    </row>
    <row r="202" spans="1:14" x14ac:dyDescent="0.25">
      <c r="A202">
        <f>1922.407938*(0.3)</f>
        <v>576.72238140000002</v>
      </c>
      <c r="B202">
        <f>-147.877533692308*(0.3)</f>
        <v>-44.363260107692312</v>
      </c>
      <c r="C202">
        <f>-443.632601076923*(0.3)</f>
        <v>-133.08978032307695</v>
      </c>
      <c r="D202">
        <f>-147.877533692308*(0.3)</f>
        <v>-44.363260107692312</v>
      </c>
      <c r="E202">
        <f>-147.877533692308*(0.3)</f>
        <v>-44.363260107692312</v>
      </c>
      <c r="F202">
        <f>-147.877533692308*(0.3)</f>
        <v>-44.363260107692312</v>
      </c>
      <c r="G202">
        <f>-88.7265202153846*(0.3)</f>
        <v>-26.617956064615388</v>
      </c>
      <c r="H202">
        <f>-147.877533692308*(0.3)</f>
        <v>-44.363260107692312</v>
      </c>
      <c r="I202">
        <f>-147.877533692308*(0.3)</f>
        <v>-44.363260107692312</v>
      </c>
      <c r="J202">
        <f>29.5755067384615*(0.3)</f>
        <v>8.8726520215384603</v>
      </c>
      <c r="K202">
        <f>-147.877533692308*(0.3)</f>
        <v>-44.363260107692312</v>
      </c>
      <c r="L202">
        <f>-72.4599915092308*(0.3)</f>
        <v>-21.737997452769232</v>
      </c>
      <c r="M202">
        <f>-162.665287061538*(0.3)</f>
        <v>-48.799586118461548</v>
      </c>
      <c r="N202">
        <f>-147.877533692308*(0.3)</f>
        <v>-44.363260107692312</v>
      </c>
    </row>
    <row r="203" spans="1:14" x14ac:dyDescent="0.25">
      <c r="A203">
        <f>112.6863677*(0.3)</f>
        <v>33.805910310000002</v>
      </c>
      <c r="B203">
        <f>-8.66818213076923*(0.3)</f>
        <v>-2.6004546392307692</v>
      </c>
      <c r="C203">
        <f>-26.0045463923077*(0.3)</f>
        <v>-7.8013639176923082</v>
      </c>
      <c r="D203">
        <f>-8.66818213076923*(0.3)</f>
        <v>-2.6004546392307692</v>
      </c>
      <c r="E203">
        <f>-8.66818213076923*(0.3)</f>
        <v>-2.6004546392307692</v>
      </c>
      <c r="F203">
        <f>-8.66818213076923*(0.3)</f>
        <v>-2.6004546392307692</v>
      </c>
      <c r="G203">
        <f>-5.20090927846154*(0.3)</f>
        <v>-1.5602727835384615</v>
      </c>
      <c r="H203">
        <f>-8.66818213076923*(0.3)</f>
        <v>-2.6004546392307692</v>
      </c>
      <c r="I203">
        <f>-8.66818213076923*(0.3)</f>
        <v>-2.6004546392307692</v>
      </c>
      <c r="J203">
        <f>1.73363642615385*(0.3)</f>
        <v>0.52009092784615374</v>
      </c>
      <c r="K203">
        <f>-8.66818213076923*(0.3)</f>
        <v>-2.6004546392307692</v>
      </c>
      <c r="L203">
        <f>-4.24740924407692*(0.3)</f>
        <v>-1.2742227732230769</v>
      </c>
      <c r="M203">
        <f>-9.53500034384616*(0.3)</f>
        <v>-2.8605001031538464</v>
      </c>
      <c r="N203">
        <f>-8.66818213076923*(0.3)</f>
        <v>-2.6004546392307692</v>
      </c>
    </row>
    <row r="204" spans="1:14" x14ac:dyDescent="0.25">
      <c r="A204">
        <f>2219.36896*(0.3)</f>
        <v>665.81068799999991</v>
      </c>
      <c r="B204">
        <f>-170.720689230769*(0.3)</f>
        <v>-51.216206769230759</v>
      </c>
      <c r="C204">
        <f>-512.162067692308*(0.3)</f>
        <v>-153.64862030769225</v>
      </c>
      <c r="D204">
        <f>-170.720689230769*(0.3)</f>
        <v>-51.216206769230759</v>
      </c>
      <c r="E204">
        <f>-170.720689230769*(0.3)</f>
        <v>-51.216206769230759</v>
      </c>
      <c r="F204">
        <f>-170.720689230769*(0.3)</f>
        <v>-51.216206769230759</v>
      </c>
      <c r="G204">
        <f>-102.432413538462*(0.3)</f>
        <v>-30.729724061538455</v>
      </c>
      <c r="H204">
        <f>-170.720689230769*(0.3)</f>
        <v>-51.216206769230759</v>
      </c>
      <c r="I204">
        <f>-170.720689230769*(0.3)</f>
        <v>-51.216206769230759</v>
      </c>
      <c r="J204">
        <f>34.1441378461538*(0.3)</f>
        <v>10.24324135384615</v>
      </c>
      <c r="K204">
        <f>-170.720689230769*(0.3)</f>
        <v>-51.216206769230759</v>
      </c>
      <c r="L204">
        <f>-83.6531377230769*(0.3)</f>
        <v>-25.095941316923071</v>
      </c>
      <c r="M204">
        <f>-187.792758153846*(0.3)</f>
        <v>-56.337827446153838</v>
      </c>
      <c r="N204">
        <f>-170.720689230769*(0.3)</f>
        <v>-51.216206769230759</v>
      </c>
    </row>
    <row r="205" spans="1:14" x14ac:dyDescent="0.25">
      <c r="A205">
        <f>125.2729637*(0.3)</f>
        <v>37.581889109999999</v>
      </c>
      <c r="B205">
        <f>-9.63638182307692*(0.3)</f>
        <v>-2.890914546923077</v>
      </c>
      <c r="C205">
        <f>-28.9091454692308*(0.3)</f>
        <v>-8.672743640769232</v>
      </c>
      <c r="D205">
        <f>-9.63638182307692*(0.3)</f>
        <v>-2.890914546923077</v>
      </c>
      <c r="E205">
        <f>-9.63638182307692*(0.3)</f>
        <v>-2.890914546923077</v>
      </c>
      <c r="F205">
        <f>-9.63638182307692*(0.3)</f>
        <v>-2.890914546923077</v>
      </c>
      <c r="G205">
        <f>-5.78182909384615*(0.3)</f>
        <v>-1.7345487281538461</v>
      </c>
      <c r="H205">
        <f>-9.63638182307692*(0.3)</f>
        <v>-2.890914546923077</v>
      </c>
      <c r="I205">
        <f>-9.63638182307692*(0.3)</f>
        <v>-2.890914546923077</v>
      </c>
      <c r="J205">
        <f>1.92727636461538*(0.3)</f>
        <v>0.57818290938461525</v>
      </c>
      <c r="K205">
        <f>-9.63638182307692*(0.3)</f>
        <v>-2.890914546923077</v>
      </c>
      <c r="L205">
        <f>-4.72182709330769*(0.3)</f>
        <v>-1.4165481279923078</v>
      </c>
      <c r="M205">
        <f>-10.6000200053846*(0.3)</f>
        <v>-3.1800060016153853</v>
      </c>
      <c r="N205">
        <f>-9.63638182307692*(0.3)</f>
        <v>-2.890914546923077</v>
      </c>
    </row>
    <row r="206" spans="1:14" x14ac:dyDescent="0.25">
      <c r="A206">
        <f>2514.021132*(0.3)</f>
        <v>754.20633959999998</v>
      </c>
      <c r="B206">
        <f>-193.386240923077*(0.3)</f>
        <v>-58.015872276923069</v>
      </c>
      <c r="C206">
        <f>-580.158722769231*(0.3)</f>
        <v>-174.04761683076921</v>
      </c>
      <c r="D206">
        <f>-193.386240923077*(0.3)</f>
        <v>-58.015872276923069</v>
      </c>
      <c r="E206">
        <f>-193.386240923077*(0.3)</f>
        <v>-58.015872276923069</v>
      </c>
      <c r="F206">
        <f>-193.386240923077*(0.3)</f>
        <v>-58.015872276923069</v>
      </c>
      <c r="G206">
        <f>-116.031744553846*(0.3)</f>
        <v>-34.80952336615384</v>
      </c>
      <c r="H206">
        <f>-193.386240923077*(0.3)</f>
        <v>-58.015872276923069</v>
      </c>
      <c r="I206">
        <f>-193.386240923077*(0.3)</f>
        <v>-58.015872276923069</v>
      </c>
      <c r="J206">
        <f>38.6772481846154*(0.3)</f>
        <v>11.603174455384611</v>
      </c>
      <c r="K206">
        <f>-193.386240923077*(0.3)</f>
        <v>-58.015872276923069</v>
      </c>
      <c r="L206">
        <f>-94.7592580523077*(0.3)</f>
        <v>-28.427777415692304</v>
      </c>
      <c r="M206">
        <f>-212.724865015385*(0.3)</f>
        <v>-63.817459504615378</v>
      </c>
      <c r="N206">
        <f>-193.386240923077*(0.3)</f>
        <v>-58.015872276923069</v>
      </c>
    </row>
    <row r="207" spans="1:14" x14ac:dyDescent="0.25">
      <c r="A207">
        <f>133.8906242*(0.3)</f>
        <v>40.167187259999999</v>
      </c>
      <c r="B207">
        <f>-10.2992787846154*(0.3)</f>
        <v>-3.0897836353846149</v>
      </c>
      <c r="C207">
        <f>-30.8978363538462*(0.3)</f>
        <v>-9.2693509061538446</v>
      </c>
      <c r="D207">
        <f>-10.2992787846154*(0.3)</f>
        <v>-3.0897836353846149</v>
      </c>
      <c r="E207">
        <f>-10.2992787846154*(0.3)</f>
        <v>-3.0897836353846149</v>
      </c>
      <c r="F207">
        <f>-10.2992787846154*(0.3)</f>
        <v>-3.0897836353846149</v>
      </c>
      <c r="G207">
        <f>-6.17956727076923*(0.3)</f>
        <v>-1.8538701812307687</v>
      </c>
      <c r="H207">
        <f>-10.2992787846154*(0.3)</f>
        <v>-3.0897836353846149</v>
      </c>
      <c r="I207">
        <f>-10.2992787846154*(0.3)</f>
        <v>-3.0897836353846149</v>
      </c>
      <c r="J207">
        <f>2.05985575692308*(0.3)</f>
        <v>0.61795672707692295</v>
      </c>
      <c r="K207">
        <f>-10.2992787846154*(0.3)</f>
        <v>-3.0897836353846149</v>
      </c>
      <c r="L207">
        <f>-5.04664660446154*(0.3)</f>
        <v>-1.5139939813384613</v>
      </c>
      <c r="M207">
        <f>-11.3292066630769*(0.3)</f>
        <v>-3.3987619989230766</v>
      </c>
      <c r="N207">
        <f>-10.2992787846154*(0.3)</f>
        <v>-3.0897836353846149</v>
      </c>
    </row>
    <row r="208" spans="1:14" x14ac:dyDescent="0.25">
      <c r="A208">
        <f>2822.877717*(0.3)</f>
        <v>846.86331509999991</v>
      </c>
      <c r="B208">
        <f>-217.144439769231*(0.3)</f>
        <v>-65.143331930769222</v>
      </c>
      <c r="C208">
        <f>-651.433319307692*(0.3)</f>
        <v>-195.42999579230766</v>
      </c>
      <c r="D208">
        <f>-217.144439769231*(0.3)</f>
        <v>-65.143331930769222</v>
      </c>
      <c r="E208">
        <f>-217.144439769231*(0.3)</f>
        <v>-65.143331930769222</v>
      </c>
      <c r="F208">
        <f>-217.144439769231*(0.3)</f>
        <v>-65.143331930769222</v>
      </c>
      <c r="G208">
        <f>-130.286663861538*(0.3)</f>
        <v>-39.085999158461533</v>
      </c>
      <c r="H208">
        <f>-217.144439769231*(0.3)</f>
        <v>-65.143331930769222</v>
      </c>
      <c r="I208">
        <f>-217.144439769231*(0.3)</f>
        <v>-65.143331930769222</v>
      </c>
      <c r="J208">
        <f>43.4288879538461*(0.3)</f>
        <v>13.028666386153843</v>
      </c>
      <c r="K208">
        <f>-217.144439769231*(0.3)</f>
        <v>-65.143331930769222</v>
      </c>
      <c r="L208">
        <f>-106.400775486923*(0.3)</f>
        <v>-31.920232646076919</v>
      </c>
      <c r="M208">
        <f>-238.858883746154*(0.3)</f>
        <v>-71.657665123846158</v>
      </c>
      <c r="N208">
        <f>-217.144439769231*(0.3)</f>
        <v>-65.143331930769222</v>
      </c>
    </row>
    <row r="209" spans="1:14" x14ac:dyDescent="0.25">
      <c r="A209">
        <f>-58.93390198*(0.3)</f>
        <v>-17.680170594</v>
      </c>
      <c r="B209">
        <f>4.53337707538462*(0.3)</f>
        <v>1.3600131226153847</v>
      </c>
      <c r="C209">
        <f>13.6001312261538*(0.3)</f>
        <v>4.0800393678461537</v>
      </c>
      <c r="D209">
        <f>4.53337707538462*(0.3)</f>
        <v>1.3600131226153847</v>
      </c>
      <c r="E209">
        <f>4.53337707538462*(0.3)</f>
        <v>1.3600131226153847</v>
      </c>
      <c r="F209">
        <f>4.53337707538462*(0.3)</f>
        <v>1.3600131226153847</v>
      </c>
      <c r="G209">
        <f>2.72002624523077*(0.3)</f>
        <v>0.81600787356923077</v>
      </c>
      <c r="H209">
        <f>4.53337707538462*(0.3)</f>
        <v>1.3600131226153847</v>
      </c>
      <c r="I209">
        <f>4.53337707538462*(0.3)</f>
        <v>1.3600131226153847</v>
      </c>
      <c r="J209">
        <f>-0.906675415076923*(0.3)</f>
        <v>-0.27200262452307689</v>
      </c>
      <c r="K209">
        <f>4.53337707538462*(0.3)</f>
        <v>1.3600131226153847</v>
      </c>
      <c r="L209">
        <f>2.22135476693846*(0.3)</f>
        <v>0.66640643008153844</v>
      </c>
      <c r="M209">
        <f>4.98671478292308*(0.3)</f>
        <v>1.4960144348769233</v>
      </c>
      <c r="N209">
        <f>4.53337707538462*(0.3)</f>
        <v>1.3600131226153847</v>
      </c>
    </row>
    <row r="210" spans="1:14" x14ac:dyDescent="0.25">
      <c r="A210">
        <f>-60.06015891*(0.3)</f>
        <v>-18.018047672999998</v>
      </c>
      <c r="B210">
        <f>4.62001222384615*(0.3)</f>
        <v>1.3860036671538463</v>
      </c>
      <c r="C210">
        <f>13.8600366715385*(0.3)</f>
        <v>4.1580110014615386</v>
      </c>
      <c r="D210">
        <f>4.62001222384615*(0.3)</f>
        <v>1.3860036671538463</v>
      </c>
      <c r="E210">
        <f>4.62001222384615*(0.3)</f>
        <v>1.3860036671538463</v>
      </c>
      <c r="F210">
        <f>4.62001222384615*(0.3)</f>
        <v>1.3860036671538463</v>
      </c>
      <c r="G210">
        <f>2.77200733430769*(0.3)</f>
        <v>0.83160220029230769</v>
      </c>
      <c r="H210">
        <f>4.62001222384615*(0.3)</f>
        <v>1.3860036671538463</v>
      </c>
      <c r="I210">
        <f>4.62001222384615*(0.3)</f>
        <v>1.3860036671538463</v>
      </c>
      <c r="J210">
        <f>-0.924002444769231*(0.3)</f>
        <v>-0.27720073343076918</v>
      </c>
      <c r="K210">
        <f>4.62001222384615*(0.3)</f>
        <v>1.3860036671538463</v>
      </c>
      <c r="L210">
        <f>2.26380598968462*(0.3)</f>
        <v>0.67914179690538468</v>
      </c>
      <c r="M210">
        <f>5.08201344623077*(0.3)</f>
        <v>1.5246040338692308</v>
      </c>
      <c r="N210">
        <f>4.62001222384615*(0.3)</f>
        <v>1.3860036671538463</v>
      </c>
    </row>
    <row r="211" spans="1:14" x14ac:dyDescent="0.25">
      <c r="A211">
        <f>-96.25863911*(0.3)</f>
        <v>-28.877591732999999</v>
      </c>
      <c r="B211">
        <f>7.40451070076923*(0.3)</f>
        <v>2.2213532102307694</v>
      </c>
      <c r="C211">
        <f>22.2135321023077*(0.3)</f>
        <v>6.6640596306923081</v>
      </c>
      <c r="D211">
        <f>7.40451070076923*(0.3)</f>
        <v>2.2213532102307694</v>
      </c>
      <c r="E211">
        <f>7.40451070076923*(0.3)</f>
        <v>2.2213532102307694</v>
      </c>
      <c r="F211">
        <f>7.40451070076923*(0.3)</f>
        <v>2.2213532102307694</v>
      </c>
      <c r="G211">
        <f>4.44270642046154*(0.3)</f>
        <v>1.3328119261384617</v>
      </c>
      <c r="H211">
        <f>7.40451070076923*(0.3)</f>
        <v>2.2213532102307694</v>
      </c>
      <c r="I211">
        <f>7.40451070076923*(0.3)</f>
        <v>2.2213532102307694</v>
      </c>
      <c r="J211">
        <f>-1.48090214015385*(0.3)</f>
        <v>-0.4442706420461538</v>
      </c>
      <c r="K211">
        <f>7.40451070076923*(0.3)</f>
        <v>2.2213532102307694</v>
      </c>
      <c r="L211">
        <f>3.62821024337692*(0.3)</f>
        <v>1.0884630730130769</v>
      </c>
      <c r="M211">
        <f>8.14496177084616*(0.3)</f>
        <v>2.4434885312538466</v>
      </c>
      <c r="N211">
        <f>7.40451070076923*(0.3)</f>
        <v>2.2213532102307694</v>
      </c>
    </row>
    <row r="212" spans="1:14" x14ac:dyDescent="0.25">
      <c r="A212">
        <f>-84.04589727*(0.3)</f>
        <v>-25.213769181</v>
      </c>
      <c r="B212">
        <f>6.46506902076923*(0.3)</f>
        <v>1.9395207062307691</v>
      </c>
      <c r="C212">
        <f>19.3952070623077*(0.3)</f>
        <v>5.8185621186923067</v>
      </c>
      <c r="D212">
        <f>6.46506902076923*(0.3)</f>
        <v>1.9395207062307691</v>
      </c>
      <c r="E212">
        <f>6.46506902076923*(0.3)</f>
        <v>1.9395207062307691</v>
      </c>
      <c r="F212">
        <f>6.46506902076923*(0.3)</f>
        <v>1.9395207062307691</v>
      </c>
      <c r="G212">
        <f>3.87904141246154*(0.3)</f>
        <v>1.1637124237384615</v>
      </c>
      <c r="H212">
        <f>6.46506902076923*(0.3)</f>
        <v>1.9395207062307691</v>
      </c>
      <c r="I212">
        <f>6.46506902076923*(0.3)</f>
        <v>1.9395207062307691</v>
      </c>
      <c r="J212">
        <f>-1.29301380415385*(0.3)</f>
        <v>-0.38790414124615374</v>
      </c>
      <c r="K212">
        <f>6.46506902076923*(0.3)</f>
        <v>1.9395207062307691</v>
      </c>
      <c r="L212">
        <f>3.16788382017692*(0.3)</f>
        <v>0.95036514605307687</v>
      </c>
      <c r="M212">
        <f>7.11157592284615*(0.3)</f>
        <v>2.1334727768538464</v>
      </c>
      <c r="N212">
        <f>6.46506902076923*(0.3)</f>
        <v>1.9395207062307691</v>
      </c>
    </row>
    <row r="213" spans="1:14" x14ac:dyDescent="0.25">
      <c r="A213">
        <f>-142.5059337*(0.3)</f>
        <v>-42.751780110000006</v>
      </c>
      <c r="B213">
        <f>10.9619949*(0.3)</f>
        <v>3.2885984700000002</v>
      </c>
      <c r="C213">
        <f>32.8859847*(0.3)</f>
        <v>9.8657954100000005</v>
      </c>
      <c r="D213">
        <f>10.9619949*(0.3)</f>
        <v>3.2885984700000002</v>
      </c>
      <c r="E213">
        <f>10.9619949*(0.3)</f>
        <v>3.2885984700000002</v>
      </c>
      <c r="F213">
        <f>10.9619949*(0.3)</f>
        <v>3.2885984700000002</v>
      </c>
      <c r="G213">
        <f>6.57719694*(0.3)</f>
        <v>1.973159082</v>
      </c>
      <c r="H213">
        <f>10.9619949*(0.3)</f>
        <v>3.2885984700000002</v>
      </c>
      <c r="I213">
        <f>10.9619949*(0.3)</f>
        <v>3.2885984700000002</v>
      </c>
      <c r="J213">
        <f>-2.19239898*(0.3)</f>
        <v>-0.65771969399999985</v>
      </c>
      <c r="K213">
        <f>10.9619949*(0.3)</f>
        <v>3.2885984700000002</v>
      </c>
      <c r="L213">
        <f>5.371377501*(0.3)</f>
        <v>1.6114132503</v>
      </c>
      <c r="M213">
        <f>12.05819439*(0.3)</f>
        <v>3.6174583170000005</v>
      </c>
      <c r="N213">
        <f>10.9619949*(0.3)</f>
        <v>3.2885984700000002</v>
      </c>
    </row>
    <row r="214" spans="1:14" x14ac:dyDescent="0.25">
      <c r="A214">
        <f>-105.8566739*(0.3)</f>
        <v>-31.75700217</v>
      </c>
      <c r="B214">
        <f>8.14282106923077*(0.3)</f>
        <v>2.442846320769231</v>
      </c>
      <c r="C214">
        <f>24.4284632076923*(0.3)</f>
        <v>7.3285389623076931</v>
      </c>
      <c r="D214">
        <f>8.14282106923077*(0.3)</f>
        <v>2.442846320769231</v>
      </c>
      <c r="E214">
        <f>8.14282106923077*(0.3)</f>
        <v>2.442846320769231</v>
      </c>
      <c r="F214">
        <f>8.14282106923077*(0.3)</f>
        <v>2.442846320769231</v>
      </c>
      <c r="G214">
        <f>4.88569264153846*(0.3)</f>
        <v>1.4657077924615385</v>
      </c>
      <c r="H214">
        <f>8.14282106923077*(0.3)</f>
        <v>2.442846320769231</v>
      </c>
      <c r="I214">
        <f>8.14282106923077*(0.3)</f>
        <v>2.442846320769231</v>
      </c>
      <c r="J214">
        <f>-1.62856421384615*(0.3)</f>
        <v>-0.48856926415384605</v>
      </c>
      <c r="K214">
        <f>8.14282106923077*(0.3)</f>
        <v>2.442846320769231</v>
      </c>
      <c r="L214">
        <f>3.98998232392308*(0.3)</f>
        <v>1.1969946971769232</v>
      </c>
      <c r="M214">
        <f>8.95710317615385*(0.3)</f>
        <v>2.6871309528461542</v>
      </c>
      <c r="N214">
        <f>8.14282106923077*(0.3)</f>
        <v>2.442846320769231</v>
      </c>
    </row>
    <row r="215" spans="1:14" x14ac:dyDescent="0.25">
      <c r="A215">
        <f>-201.5025379*(0.3)</f>
        <v>-60.450761369999995</v>
      </c>
      <c r="B215">
        <f>15.5001952230769*(0.3)</f>
        <v>4.6500585669230761</v>
      </c>
      <c r="C215">
        <f>46.5005856692308*(0.3)</f>
        <v>13.950175700769229</v>
      </c>
      <c r="D215">
        <f>15.5001952230769*(0.3)</f>
        <v>4.6500585669230761</v>
      </c>
      <c r="E215">
        <f>15.5001952230769*(0.3)</f>
        <v>4.6500585669230761</v>
      </c>
      <c r="F215">
        <f>15.5001952230769*(0.3)</f>
        <v>4.6500585669230761</v>
      </c>
      <c r="G215">
        <f>9.30011713384615*(0.3)</f>
        <v>2.7900351401538455</v>
      </c>
      <c r="H215">
        <f>15.5001952230769*(0.3)</f>
        <v>4.6500585669230761</v>
      </c>
      <c r="I215">
        <f>15.5001952230769*(0.3)</f>
        <v>4.6500585669230761</v>
      </c>
      <c r="J215">
        <f>-3.10003904461538*(0.3)</f>
        <v>-0.93001171338461508</v>
      </c>
      <c r="K215">
        <f>15.5001952230769*(0.3)</f>
        <v>4.6500585669230761</v>
      </c>
      <c r="L215">
        <f>7.59509565930769*(0.3)</f>
        <v>2.2785286977923076</v>
      </c>
      <c r="M215">
        <f>17.0502147453846*(0.3)</f>
        <v>5.1150644236153839</v>
      </c>
      <c r="N215">
        <f>15.5001952230769*(0.3)</f>
        <v>4.6500585669230761</v>
      </c>
    </row>
    <row r="216" spans="1:14" x14ac:dyDescent="0.25">
      <c r="A216">
        <f>-125.1489522*(0.3)</f>
        <v>-37.544685659999999</v>
      </c>
      <c r="B216">
        <f>9.62684247692308*(0.3)</f>
        <v>2.8880527430769232</v>
      </c>
      <c r="C216">
        <f>28.8805274307692*(0.3)</f>
        <v>8.6641582292307682</v>
      </c>
      <c r="D216">
        <f>9.62684247692308*(0.3)</f>
        <v>2.8880527430769232</v>
      </c>
      <c r="E216">
        <f>9.62684247692308*(0.3)</f>
        <v>2.8880527430769232</v>
      </c>
      <c r="F216">
        <f>9.62684247692308*(0.3)</f>
        <v>2.8880527430769232</v>
      </c>
      <c r="G216">
        <f>5.77610548615385*(0.3)</f>
        <v>1.7328316458461539</v>
      </c>
      <c r="H216">
        <f>9.62684247692308*(0.3)</f>
        <v>2.8880527430769232</v>
      </c>
      <c r="I216">
        <f>9.62684247692308*(0.3)</f>
        <v>2.8880527430769232</v>
      </c>
      <c r="J216">
        <f>-1.92536849538461*(0.3)</f>
        <v>-0.57761054861538441</v>
      </c>
      <c r="K216">
        <f>9.62684247692308*(0.3)</f>
        <v>2.8880527430769232</v>
      </c>
      <c r="L216">
        <f>4.71715281369231*(0.3)</f>
        <v>1.4151458441076923</v>
      </c>
      <c r="M216">
        <f>10.5895267246154*(0.3)</f>
        <v>3.1768580173846157</v>
      </c>
      <c r="N216">
        <f>9.62684247692308*(0.3)</f>
        <v>2.8880527430769232</v>
      </c>
    </row>
    <row r="217" spans="1:14" x14ac:dyDescent="0.25">
      <c r="A217">
        <f>-277.4970373*(0.3)</f>
        <v>-83.249111189999994</v>
      </c>
      <c r="B217">
        <f>21.3459259461538*(0.3)</f>
        <v>6.4037777838461531</v>
      </c>
      <c r="C217">
        <f>64.0377778384615*(0.3)</f>
        <v>19.21133335153846</v>
      </c>
      <c r="D217">
        <f>21.3459259461538*(0.3)</f>
        <v>6.4037777838461531</v>
      </c>
      <c r="E217">
        <f>21.3459259461538*(0.3)</f>
        <v>6.4037777838461531</v>
      </c>
      <c r="F217">
        <f>21.3459259461538*(0.3)</f>
        <v>6.4037777838461531</v>
      </c>
      <c r="G217">
        <f>12.8075555676923*(0.3)</f>
        <v>3.8422666703076915</v>
      </c>
      <c r="H217">
        <f>21.3459259461538*(0.3)</f>
        <v>6.4037777838461531</v>
      </c>
      <c r="I217">
        <f>21.3459259461538*(0.3)</f>
        <v>6.4037777838461531</v>
      </c>
      <c r="J217">
        <f>-4.26918518923077*(0.3)</f>
        <v>-1.2807555567692304</v>
      </c>
      <c r="K217">
        <f>21.3459259461538*(0.3)</f>
        <v>6.4037777838461531</v>
      </c>
      <c r="L217">
        <f>10.4595037136154*(0.3)</f>
        <v>3.137851114084615</v>
      </c>
      <c r="M217">
        <f>23.4805185407692*(0.3)</f>
        <v>7.0441555622307694</v>
      </c>
      <c r="N217">
        <f>21.3459259461538*(0.3)</f>
        <v>6.4037777838461531</v>
      </c>
    </row>
    <row r="218" spans="1:14" x14ac:dyDescent="0.25">
      <c r="A218">
        <f>-141.5104378*(0.3)</f>
        <v>-42.453131339999999</v>
      </c>
      <c r="B218">
        <f>10.8854182923077*(0.3)</f>
        <v>3.2656254876923074</v>
      </c>
      <c r="C218">
        <f>32.6562548769231*(0.3)</f>
        <v>9.7968764630769236</v>
      </c>
      <c r="D218">
        <f>10.8854182923077*(0.3)</f>
        <v>3.2656254876923074</v>
      </c>
      <c r="E218">
        <f>10.8854182923077*(0.3)</f>
        <v>3.2656254876923074</v>
      </c>
      <c r="F218">
        <f>10.8854182923077*(0.3)</f>
        <v>3.2656254876923074</v>
      </c>
      <c r="G218">
        <f>6.53125097538461*(0.3)</f>
        <v>1.9593752926153845</v>
      </c>
      <c r="H218">
        <f>10.8854182923077*(0.3)</f>
        <v>3.2656254876923074</v>
      </c>
      <c r="I218">
        <f>10.8854182923077*(0.3)</f>
        <v>3.2656254876923074</v>
      </c>
      <c r="J218">
        <f>-2.17708365846154*(0.3)</f>
        <v>-0.65312509753846137</v>
      </c>
      <c r="K218">
        <f>10.8854182923077*(0.3)</f>
        <v>3.2656254876923074</v>
      </c>
      <c r="L218">
        <f>5.33385496323077*(0.3)</f>
        <v>1.6001564889692308</v>
      </c>
      <c r="M218">
        <f>11.9739601215385*(0.3)</f>
        <v>3.5921880364615388</v>
      </c>
      <c r="N218">
        <f>10.8854182923077*(0.3)</f>
        <v>3.2656254876923074</v>
      </c>
    </row>
    <row r="219" spans="1:14" x14ac:dyDescent="0.25">
      <c r="A219">
        <f>-369.2930301*(0.3)</f>
        <v>-110.78790902999999</v>
      </c>
      <c r="B219">
        <f>28.4071561615385*(0.3)</f>
        <v>8.5221468484615386</v>
      </c>
      <c r="C219">
        <f>85.2214684846154*(0.3)</f>
        <v>25.566440545384616</v>
      </c>
      <c r="D219">
        <f>28.4071561615385*(0.3)</f>
        <v>8.5221468484615386</v>
      </c>
      <c r="E219">
        <f>28.4071561615385*(0.3)</f>
        <v>8.5221468484615386</v>
      </c>
      <c r="F219">
        <f>28.4071561615385*(0.3)</f>
        <v>8.5221468484615386</v>
      </c>
      <c r="G219">
        <f>17.0442936969231*(0.3)</f>
        <v>5.1132881090769233</v>
      </c>
      <c r="H219">
        <f>28.4071561615385*(0.3)</f>
        <v>8.5221468484615386</v>
      </c>
      <c r="I219">
        <f>28.4071561615385*(0.3)</f>
        <v>8.5221468484615386</v>
      </c>
      <c r="J219">
        <f>-5.68143123230769*(0.3)</f>
        <v>-1.7044293696923074</v>
      </c>
      <c r="K219">
        <f>28.4071561615385*(0.3)</f>
        <v>8.5221468484615386</v>
      </c>
      <c r="L219">
        <f>13.9195065191538*(0.3)</f>
        <v>4.175851955746154</v>
      </c>
      <c r="M219">
        <f>31.2478717776923*(0.3)</f>
        <v>9.3743615333076935</v>
      </c>
      <c r="N219">
        <f>28.4071561615385*(0.3)</f>
        <v>8.5221468484615386</v>
      </c>
    </row>
    <row r="220" spans="1:14" x14ac:dyDescent="0.25">
      <c r="A220">
        <f>-163.1189627*(0.3)</f>
        <v>-48.935688809999995</v>
      </c>
      <c r="B220">
        <f>12.5476125153846*(0.3)</f>
        <v>3.7642837546153847</v>
      </c>
      <c r="C220">
        <f>37.6428375461538*(0.3)</f>
        <v>11.292851263846154</v>
      </c>
      <c r="D220">
        <f>12.5476125153846*(0.3)</f>
        <v>3.7642837546153847</v>
      </c>
      <c r="E220">
        <f>12.5476125153846*(0.3)</f>
        <v>3.7642837546153847</v>
      </c>
      <c r="F220">
        <f>12.5476125153846*(0.3)</f>
        <v>3.7642837546153847</v>
      </c>
      <c r="G220">
        <f>7.52856750923077*(0.3)</f>
        <v>2.2585702527692306</v>
      </c>
      <c r="H220">
        <f>12.5476125153846*(0.3)</f>
        <v>3.7642837546153847</v>
      </c>
      <c r="I220">
        <f>12.5476125153846*(0.3)</f>
        <v>3.7642837546153847</v>
      </c>
      <c r="J220">
        <f>-2.50952250307692*(0.3)</f>
        <v>-0.7528567509230768</v>
      </c>
      <c r="K220">
        <f>12.5476125153846*(0.3)</f>
        <v>3.7642837546153847</v>
      </c>
      <c r="L220">
        <f>6.14833013253846*(0.3)</f>
        <v>1.8444990397615384</v>
      </c>
      <c r="M220">
        <f>13.8023737669231*(0.3)</f>
        <v>4.1407121300769232</v>
      </c>
      <c r="N220">
        <f>12.5476125153846*(0.3)</f>
        <v>3.7642837546153847</v>
      </c>
    </row>
    <row r="221" spans="1:14" x14ac:dyDescent="0.25">
      <c r="A221">
        <f>-512.984338*(0.3)</f>
        <v>-153.89530139999999</v>
      </c>
      <c r="B221">
        <f>39.4603336923077*(0.3)</f>
        <v>11.838100107692307</v>
      </c>
      <c r="C221">
        <f>118.381001076923*(0.3)</f>
        <v>35.514300323076917</v>
      </c>
      <c r="D221">
        <f>39.4603336923077*(0.3)</f>
        <v>11.838100107692307</v>
      </c>
      <c r="E221">
        <f>39.4603336923077*(0.3)</f>
        <v>11.838100107692307</v>
      </c>
      <c r="F221">
        <f>39.4603336923077*(0.3)</f>
        <v>11.838100107692307</v>
      </c>
      <c r="G221">
        <f>23.6762002153846*(0.3)</f>
        <v>7.1028600646153839</v>
      </c>
      <c r="H221">
        <f>39.4603336923077*(0.3)</f>
        <v>11.838100107692307</v>
      </c>
      <c r="I221">
        <f>39.4603336923077*(0.3)</f>
        <v>11.838100107692307</v>
      </c>
      <c r="J221">
        <f>-7.89206673846154*(0.3)</f>
        <v>-2.3676200215384609</v>
      </c>
      <c r="K221">
        <f>39.4603336923077*(0.3)</f>
        <v>11.838100107692307</v>
      </c>
      <c r="L221">
        <f>19.3355635092308*(0.3)</f>
        <v>5.8006690527692308</v>
      </c>
      <c r="M221">
        <f>43.4063670615385*(0.3)</f>
        <v>13.021910118461539</v>
      </c>
      <c r="N221">
        <f>39.4603336923077*(0.3)</f>
        <v>11.838100107692307</v>
      </c>
    </row>
    <row r="222" spans="1:14" x14ac:dyDescent="0.25">
      <c r="A222">
        <f>-187.2836181*(0.3)</f>
        <v>-56.185085430000001</v>
      </c>
      <c r="B222">
        <f>14.4064321615385*(0.3)</f>
        <v>4.3219296484615386</v>
      </c>
      <c r="C222">
        <f>43.2192964846154*(0.3)</f>
        <v>12.965788945384617</v>
      </c>
      <c r="D222">
        <f>14.4064321615385*(0.3)</f>
        <v>4.3219296484615386</v>
      </c>
      <c r="E222">
        <f>14.4064321615385*(0.3)</f>
        <v>4.3219296484615386</v>
      </c>
      <c r="F222">
        <f>14.4064321615385*(0.3)</f>
        <v>4.3219296484615386</v>
      </c>
      <c r="G222">
        <f>8.64385929692308*(0.3)</f>
        <v>2.5931577890769231</v>
      </c>
      <c r="H222">
        <f>14.4064321615385*(0.3)</f>
        <v>4.3219296484615386</v>
      </c>
      <c r="I222">
        <f>14.4064321615385*(0.3)</f>
        <v>4.3219296484615386</v>
      </c>
      <c r="J222">
        <f>-2.88128643230769*(0.3)</f>
        <v>-0.86438592969230765</v>
      </c>
      <c r="K222">
        <f>14.4064321615385*(0.3)</f>
        <v>4.3219296484615386</v>
      </c>
      <c r="L222">
        <f>7.05915175915385*(0.3)</f>
        <v>2.1177455277461537</v>
      </c>
      <c r="M222">
        <f>15.8470753776923*(0.3)</f>
        <v>4.7541226133076933</v>
      </c>
      <c r="N222">
        <f>14.4064321615385*(0.3)</f>
        <v>4.3219296484615386</v>
      </c>
    </row>
    <row r="223" spans="1:14" x14ac:dyDescent="0.25">
      <c r="A223">
        <f>-728.343276*(0.3)</f>
        <v>-218.50298279999998</v>
      </c>
      <c r="B223">
        <f>56.0264058461538*(0.3)</f>
        <v>16.807921753846152</v>
      </c>
      <c r="C223">
        <f>168.079217538462*(0.3)</f>
        <v>50.423765261538456</v>
      </c>
      <c r="D223">
        <f>56.0264058461538*(0.3)</f>
        <v>16.807921753846152</v>
      </c>
      <c r="E223">
        <f>56.0264058461538*(0.3)</f>
        <v>16.807921753846152</v>
      </c>
      <c r="F223">
        <f>56.0264058461538*(0.3)</f>
        <v>16.807921753846152</v>
      </c>
      <c r="G223">
        <f>33.6158435076923*(0.3)</f>
        <v>10.084753052307692</v>
      </c>
      <c r="H223">
        <f>56.0264058461538*(0.3)</f>
        <v>16.807921753846152</v>
      </c>
      <c r="I223">
        <f>56.0264058461538*(0.3)</f>
        <v>16.807921753846152</v>
      </c>
      <c r="J223">
        <f>-11.2052811692308*(0.3)</f>
        <v>-3.3615843507692298</v>
      </c>
      <c r="K223">
        <f>56.0264058461538*(0.3)</f>
        <v>16.807921753846152</v>
      </c>
      <c r="L223">
        <f>27.4529388646154*(0.3)</f>
        <v>8.2358816593846154</v>
      </c>
      <c r="M223">
        <f>61.6290464307692*(0.3)</f>
        <v>18.488713929230769</v>
      </c>
      <c r="N223">
        <f>56.0264058461538*(0.3)</f>
        <v>16.807921753846152</v>
      </c>
    </row>
    <row r="224" spans="1:14" x14ac:dyDescent="0.25">
      <c r="A224">
        <f>-203.7690602*(0.3)</f>
        <v>-61.13071806</v>
      </c>
      <c r="B224">
        <f>15.6745430923077*(0.3)</f>
        <v>4.7023629276923078</v>
      </c>
      <c r="C224">
        <f>47.0236292769231*(0.3)</f>
        <v>14.107088783076923</v>
      </c>
      <c r="D224">
        <f>15.6745430923077*(0.3)</f>
        <v>4.7023629276923078</v>
      </c>
      <c r="E224">
        <f>15.6745430923077*(0.3)</f>
        <v>4.7023629276923078</v>
      </c>
      <c r="F224">
        <f>15.6745430923077*(0.3)</f>
        <v>4.7023629276923078</v>
      </c>
      <c r="G224">
        <f>9.40472585538462*(0.3)</f>
        <v>2.8214177566153844</v>
      </c>
      <c r="H224">
        <f>15.6745430923077*(0.3)</f>
        <v>4.7023629276923078</v>
      </c>
      <c r="I224">
        <f>15.6745430923077*(0.3)</f>
        <v>4.7023629276923078</v>
      </c>
      <c r="J224">
        <f>-3.13490861846154*(0.3)</f>
        <v>-0.94047258553846147</v>
      </c>
      <c r="K224">
        <f>15.6745430923077*(0.3)</f>
        <v>4.7023629276923078</v>
      </c>
      <c r="L224">
        <f>7.68052611523077*(0.3)</f>
        <v>2.3041578345692311</v>
      </c>
      <c r="M224">
        <f>17.2419974015385*(0.3)</f>
        <v>5.1725992204615396</v>
      </c>
      <c r="N224">
        <f>15.6745430923077*(0.3)</f>
        <v>4.7023629276923078</v>
      </c>
    </row>
    <row r="225" spans="1:14" x14ac:dyDescent="0.25">
      <c r="A225">
        <f>-24.56921317*(0.3)</f>
        <v>-7.3707639509999998</v>
      </c>
      <c r="B225">
        <f>1.88993947461538*(0.3)</f>
        <v>0.56698184238461546</v>
      </c>
      <c r="C225">
        <f>5.66981842384615*(0.3)</f>
        <v>1.7009455271538461</v>
      </c>
      <c r="D225">
        <f>1.88993947461538*(0.3)</f>
        <v>0.56698184238461546</v>
      </c>
      <c r="E225">
        <f>1.88993947461538*(0.3)</f>
        <v>0.56698184238461546</v>
      </c>
      <c r="F225">
        <f>1.88993947461538*(0.3)</f>
        <v>0.56698184238461546</v>
      </c>
      <c r="G225">
        <f>1.13396368476923*(0.3)</f>
        <v>0.34018910543076925</v>
      </c>
      <c r="H225">
        <f>1.88993947461538*(0.3)</f>
        <v>0.56698184238461546</v>
      </c>
      <c r="I225">
        <f>1.88993947461538*(0.3)</f>
        <v>0.56698184238461546</v>
      </c>
      <c r="J225">
        <f>-0.377987894923077*(0.3)</f>
        <v>-0.11339636847692305</v>
      </c>
      <c r="K225">
        <f>1.88993947461538*(0.3)</f>
        <v>0.56698184238461546</v>
      </c>
      <c r="L225">
        <f>0.926070342561539*(0.3)</f>
        <v>0.27782110276846156</v>
      </c>
      <c r="M225">
        <f>2.07893342207692*(0.3)</f>
        <v>0.62368002662307698</v>
      </c>
      <c r="N225">
        <f>1.88993947461538*(0.3)</f>
        <v>0.56698184238461546</v>
      </c>
    </row>
    <row r="226" spans="1:14" x14ac:dyDescent="0.25">
      <c r="A226">
        <f>-115.6830146*(0.3)</f>
        <v>-34.704904380000002</v>
      </c>
      <c r="B226">
        <f>8.89869343076923*(0.3)</f>
        <v>2.6696080292307696</v>
      </c>
      <c r="C226">
        <f>26.6960802923077*(0.3)</f>
        <v>8.0088240876923074</v>
      </c>
      <c r="D226">
        <f>8.89869343076923*(0.3)</f>
        <v>2.6696080292307696</v>
      </c>
      <c r="E226">
        <f>8.89869343076923*(0.3)</f>
        <v>2.6696080292307696</v>
      </c>
      <c r="F226">
        <f>8.89869343076923*(0.3)</f>
        <v>2.6696080292307696</v>
      </c>
      <c r="G226">
        <f>5.33921605846154*(0.3)</f>
        <v>1.6017648175384618</v>
      </c>
      <c r="H226">
        <f>8.89869343076923*(0.3)</f>
        <v>2.6696080292307696</v>
      </c>
      <c r="I226">
        <f>8.89869343076923*(0.3)</f>
        <v>2.6696080292307696</v>
      </c>
      <c r="J226">
        <f>-1.77973868615385*(0.3)</f>
        <v>-0.53392160584615378</v>
      </c>
      <c r="K226">
        <f>8.89869343076923*(0.3)</f>
        <v>2.6696080292307696</v>
      </c>
      <c r="L226">
        <f>4.36035978107692*(0.3)</f>
        <v>1.3081079343230768</v>
      </c>
      <c r="M226">
        <f>9.78856277384616*(0.3)</f>
        <v>2.9365688321538466</v>
      </c>
      <c r="N226">
        <f>8.89869343076923*(0.3)</f>
        <v>2.6696080292307696</v>
      </c>
    </row>
    <row r="227" spans="1:14" x14ac:dyDescent="0.25">
      <c r="A227">
        <f>-41.86789146*(0.3)</f>
        <v>-12.560367438</v>
      </c>
      <c r="B227">
        <f>3.22060703538462*(0.3)</f>
        <v>0.96618211061538462</v>
      </c>
      <c r="C227">
        <f>9.66182110615385*(0.3)</f>
        <v>2.8985463318461537</v>
      </c>
      <c r="D227">
        <f>3.22060703538462*(0.3)</f>
        <v>0.96618211061538462</v>
      </c>
      <c r="E227">
        <f>3.22060703538462*(0.3)</f>
        <v>0.96618211061538462</v>
      </c>
      <c r="F227">
        <f>3.22060703538462*(0.3)</f>
        <v>0.96618211061538462</v>
      </c>
      <c r="G227">
        <f>1.93236422123077*(0.3)</f>
        <v>0.5797092663692307</v>
      </c>
      <c r="H227">
        <f>3.22060703538462*(0.3)</f>
        <v>0.96618211061538462</v>
      </c>
      <c r="I227">
        <f>3.22060703538462*(0.3)</f>
        <v>0.96618211061538462</v>
      </c>
      <c r="J227">
        <f>-0.644121407076923*(0.3)</f>
        <v>-0.1932364221230769</v>
      </c>
      <c r="K227">
        <f>3.22060703538462*(0.3)</f>
        <v>0.96618211061538462</v>
      </c>
      <c r="L227">
        <f>1.57809744733846*(0.3)</f>
        <v>0.47342923420153843</v>
      </c>
      <c r="M227">
        <f>3.54266773892308*(0.3)</f>
        <v>1.0628003216769231</v>
      </c>
      <c r="N227">
        <f>3.22060703538462*(0.3)</f>
        <v>0.96618211061538462</v>
      </c>
    </row>
    <row r="228" spans="1:14" x14ac:dyDescent="0.25">
      <c r="A228">
        <f>-149.150307*(0.3)</f>
        <v>-44.745092100000001</v>
      </c>
      <c r="B228">
        <f>11.4731005384615*(0.3)</f>
        <v>3.4419301615384614</v>
      </c>
      <c r="C228">
        <f>34.4193016153846*(0.3)</f>
        <v>10.325790484615386</v>
      </c>
      <c r="D228">
        <f>11.4731005384615*(0.3)</f>
        <v>3.4419301615384614</v>
      </c>
      <c r="E228">
        <f>11.4731005384615*(0.3)</f>
        <v>3.4419301615384614</v>
      </c>
      <c r="F228">
        <f>11.4731005384615*(0.3)</f>
        <v>3.4419301615384614</v>
      </c>
      <c r="G228">
        <f>6.88386032307692*(0.3)</f>
        <v>2.0651580969230769</v>
      </c>
      <c r="H228">
        <f>11.4731005384615*(0.3)</f>
        <v>3.4419301615384614</v>
      </c>
      <c r="I228">
        <f>11.4731005384615*(0.3)</f>
        <v>3.4419301615384614</v>
      </c>
      <c r="J228">
        <f>-2.29462010769231*(0.3)</f>
        <v>-0.68838603230769213</v>
      </c>
      <c r="K228">
        <f>11.4731005384615*(0.3)</f>
        <v>3.4419301615384614</v>
      </c>
      <c r="L228">
        <f>5.62181926384615*(0.3)</f>
        <v>1.6865457791538463</v>
      </c>
      <c r="M228">
        <f>12.6204105923077*(0.3)</f>
        <v>3.7861231776923079</v>
      </c>
      <c r="N228">
        <f>11.4731005384615*(0.3)</f>
        <v>3.4419301615384614</v>
      </c>
    </row>
    <row r="229" spans="1:14" x14ac:dyDescent="0.25">
      <c r="A229">
        <f>-60.30910666*(0.3)</f>
        <v>-18.092731997999998</v>
      </c>
      <c r="B229">
        <f>4.63916205076923*(0.3)</f>
        <v>1.391748615230769</v>
      </c>
      <c r="C229">
        <f>13.9174861523077*(0.3)</f>
        <v>4.1752458456923076</v>
      </c>
      <c r="D229">
        <f>4.63916205076923*(0.3)</f>
        <v>1.391748615230769</v>
      </c>
      <c r="E229">
        <f>4.63916205076923*(0.3)</f>
        <v>1.391748615230769</v>
      </c>
      <c r="F229">
        <f>4.63916205076923*(0.3)</f>
        <v>1.391748615230769</v>
      </c>
      <c r="G229">
        <f>2.78349723046154*(0.3)</f>
        <v>0.83504916913846139</v>
      </c>
      <c r="H229">
        <f>4.63916205076923*(0.3)</f>
        <v>1.391748615230769</v>
      </c>
      <c r="I229">
        <f>4.63916205076923*(0.3)</f>
        <v>1.391748615230769</v>
      </c>
      <c r="J229">
        <f>-0.927832410153846*(0.3)</f>
        <v>-0.27834972304615374</v>
      </c>
      <c r="K229">
        <f>4.63916205076923*(0.3)</f>
        <v>1.391748615230769</v>
      </c>
      <c r="L229">
        <f>2.27318940487692*(0.3)</f>
        <v>0.6819568214630769</v>
      </c>
      <c r="M229">
        <f>5.10307825584615*(0.3)</f>
        <v>1.5309234767538462</v>
      </c>
      <c r="N229">
        <f>4.63916205076923*(0.3)</f>
        <v>1.391748615230769</v>
      </c>
    </row>
    <row r="230" spans="1:14" x14ac:dyDescent="0.25">
      <c r="A230">
        <f>-188.6638379*(0.3)</f>
        <v>-56.599151370000001</v>
      </c>
      <c r="B230">
        <f>14.5126029153846*(0.3)</f>
        <v>4.3537808746153841</v>
      </c>
      <c r="C230">
        <f>43.5378087461538*(0.3)</f>
        <v>13.061342623846153</v>
      </c>
      <c r="D230">
        <f>14.5126029153846*(0.3)</f>
        <v>4.3537808746153841</v>
      </c>
      <c r="E230">
        <f>14.5126029153846*(0.3)</f>
        <v>4.3537808746153841</v>
      </c>
      <c r="F230">
        <f>14.5126029153846*(0.3)</f>
        <v>4.3537808746153841</v>
      </c>
      <c r="G230">
        <f>8.70756174923077*(0.3)</f>
        <v>2.6122685247692305</v>
      </c>
      <c r="H230">
        <f>14.5126029153846*(0.3)</f>
        <v>4.3537808746153841</v>
      </c>
      <c r="I230">
        <f>14.5126029153846*(0.3)</f>
        <v>4.3537808746153841</v>
      </c>
      <c r="J230">
        <f>-2.90252058307692*(0.3)</f>
        <v>-0.87075617492307666</v>
      </c>
      <c r="K230">
        <f>14.5126029153846*(0.3)</f>
        <v>4.3537808746153841</v>
      </c>
      <c r="L230">
        <f>7.11117542853846*(0.3)</f>
        <v>2.1333526285615383</v>
      </c>
      <c r="M230">
        <f>15.9638632069231*(0.3)</f>
        <v>4.7891589620769235</v>
      </c>
      <c r="N230">
        <f>14.5126029153846*(0.3)</f>
        <v>4.3537808746153841</v>
      </c>
    </row>
    <row r="231" spans="1:14" x14ac:dyDescent="0.25">
      <c r="A231">
        <f>-73.80625576*(0.3)</f>
        <v>-22.141876728</v>
      </c>
      <c r="B231">
        <f>5.67740428923077*(0.3)</f>
        <v>1.7032212867692307</v>
      </c>
      <c r="C231">
        <f>17.0322128676923*(0.3)</f>
        <v>5.109663860307692</v>
      </c>
      <c r="D231">
        <f>5.67740428923077*(0.3)</f>
        <v>1.7032212867692307</v>
      </c>
      <c r="E231">
        <f>5.67740428923077*(0.3)</f>
        <v>1.7032212867692307</v>
      </c>
      <c r="F231">
        <f>5.67740428923077*(0.3)</f>
        <v>1.7032212867692307</v>
      </c>
      <c r="G231">
        <f>3.40644257353846*(0.3)</f>
        <v>1.0219327720615383</v>
      </c>
      <c r="H231">
        <f>5.67740428923077*(0.3)</f>
        <v>1.7032212867692307</v>
      </c>
      <c r="I231">
        <f>5.67740428923077*(0.3)</f>
        <v>1.7032212867692307</v>
      </c>
      <c r="J231">
        <f>-1.13548085784615*(0.3)</f>
        <v>-0.34064425735384601</v>
      </c>
      <c r="K231">
        <f>5.67740428923077*(0.3)</f>
        <v>1.7032212867692307</v>
      </c>
      <c r="L231">
        <f>2.78192810172308*(0.3)</f>
        <v>0.83457843051692304</v>
      </c>
      <c r="M231">
        <f>6.24514471815385*(0.3)</f>
        <v>1.8735434154461539</v>
      </c>
      <c r="N231">
        <f>5.67740428923077*(0.3)</f>
        <v>1.7032212867692307</v>
      </c>
    </row>
    <row r="232" spans="1:14" x14ac:dyDescent="0.25">
      <c r="A232">
        <f>-227.5249661*(0.3)</f>
        <v>-68.257489829999997</v>
      </c>
      <c r="B232">
        <f>17.5019204692308*(0.3)</f>
        <v>5.2505761407692306</v>
      </c>
      <c r="C232">
        <f>52.5057614076923*(0.3)</f>
        <v>15.751728422307691</v>
      </c>
      <c r="D232">
        <f>17.5019204692308*(0.3)</f>
        <v>5.2505761407692306</v>
      </c>
      <c r="E232">
        <f>17.5019204692308*(0.3)</f>
        <v>5.2505761407692306</v>
      </c>
      <c r="F232">
        <f>17.5019204692308*(0.3)</f>
        <v>5.2505761407692306</v>
      </c>
      <c r="G232">
        <f>10.5011522815385*(0.3)</f>
        <v>3.1503456844615383</v>
      </c>
      <c r="H232">
        <f>17.5019204692308*(0.3)</f>
        <v>5.2505761407692306</v>
      </c>
      <c r="I232">
        <f>17.5019204692308*(0.3)</f>
        <v>5.2505761407692306</v>
      </c>
      <c r="J232">
        <f>-3.50038409384615*(0.3)</f>
        <v>-1.0501152281538459</v>
      </c>
      <c r="K232">
        <f>17.5019204692308*(0.3)</f>
        <v>5.2505761407692306</v>
      </c>
      <c r="L232">
        <f>8.57594102992308*(0.3)</f>
        <v>2.5727823089769228</v>
      </c>
      <c r="M232">
        <f>19.2521125161538*(0.3)</f>
        <v>5.7756337548461536</v>
      </c>
      <c r="N232">
        <f>17.5019204692308*(0.3)</f>
        <v>5.2505761407692306</v>
      </c>
    </row>
    <row r="233" spans="1:14" x14ac:dyDescent="0.25">
      <c r="A233">
        <f>-95.51704261*(0.3)</f>
        <v>-28.655112783</v>
      </c>
      <c r="B233">
        <f>7.34746481615385*(0.3)</f>
        <v>2.204239444846154</v>
      </c>
      <c r="C233">
        <f>22.0423944484615*(0.3)</f>
        <v>6.6127183345384619</v>
      </c>
      <c r="D233">
        <f>7.34746481615385*(0.3)</f>
        <v>2.204239444846154</v>
      </c>
      <c r="E233">
        <f>7.34746481615385*(0.3)</f>
        <v>2.204239444846154</v>
      </c>
      <c r="F233">
        <f>7.34746481615385*(0.3)</f>
        <v>2.204239444846154</v>
      </c>
      <c r="G233">
        <f>4.40847888969231*(0.3)</f>
        <v>1.3225436669076924</v>
      </c>
      <c r="H233">
        <f>7.34746481615385*(0.3)</f>
        <v>2.204239444846154</v>
      </c>
      <c r="I233">
        <f>7.34746481615385*(0.3)</f>
        <v>2.204239444846154</v>
      </c>
      <c r="J233">
        <f>-1.46949296323077*(0.3)</f>
        <v>-0.44084788896923066</v>
      </c>
      <c r="K233">
        <f>7.34746481615385*(0.3)</f>
        <v>2.204239444846154</v>
      </c>
      <c r="L233">
        <f>3.60025775991538*(0.3)</f>
        <v>1.0800773279746152</v>
      </c>
      <c r="M233">
        <f>8.08221129776923*(0.3)</f>
        <v>2.4246633893307696</v>
      </c>
      <c r="N233">
        <f>7.34746481615385*(0.3)</f>
        <v>2.204239444846154</v>
      </c>
    </row>
    <row r="234" spans="1:14" x14ac:dyDescent="0.25">
      <c r="A234">
        <f>-267.7866735*(0.3)</f>
        <v>-80.336002050000005</v>
      </c>
      <c r="B234">
        <f>20.5989748846154*(0.3)</f>
        <v>6.1796924653846146</v>
      </c>
      <c r="C234">
        <f>61.7969246538461*(0.3)</f>
        <v>18.539077396153843</v>
      </c>
      <c r="D234">
        <f>20.5989748846154*(0.3)</f>
        <v>6.1796924653846146</v>
      </c>
      <c r="E234">
        <f>20.5989748846154*(0.3)</f>
        <v>6.1796924653846146</v>
      </c>
      <c r="F234">
        <f>20.5989748846154*(0.3)</f>
        <v>6.1796924653846146</v>
      </c>
      <c r="G234">
        <f>12.3593849307692*(0.3)</f>
        <v>3.7078154792307685</v>
      </c>
      <c r="H234">
        <f>20.5989748846154*(0.3)</f>
        <v>6.1796924653846146</v>
      </c>
      <c r="I234">
        <f>20.5989748846154*(0.3)</f>
        <v>6.1796924653846146</v>
      </c>
      <c r="J234">
        <f>-4.11979497692308*(0.3)</f>
        <v>-1.2359384930769226</v>
      </c>
      <c r="K234">
        <f>20.5989748846154*(0.3)</f>
        <v>6.1796924653846146</v>
      </c>
      <c r="L234">
        <f>10.0934976934615*(0.3)</f>
        <v>3.0280493080384612</v>
      </c>
      <c r="M234">
        <f>22.6588723730769*(0.3)</f>
        <v>6.7976617119230776</v>
      </c>
      <c r="N234">
        <f>20.5989748846154*(0.3)</f>
        <v>6.1796924653846146</v>
      </c>
    </row>
    <row r="235" spans="1:14" x14ac:dyDescent="0.25">
      <c r="A235">
        <f>-119.059663*(0.3)</f>
        <v>-35.717898900000002</v>
      </c>
      <c r="B235">
        <f>9.15843561538462*(0.3)</f>
        <v>2.7475306846153846</v>
      </c>
      <c r="C235">
        <f>27.4753068461538*(0.3)</f>
        <v>8.2425920538461526</v>
      </c>
      <c r="D235">
        <f>9.15843561538462*(0.3)</f>
        <v>2.7475306846153846</v>
      </c>
      <c r="E235">
        <f>9.15843561538462*(0.3)</f>
        <v>2.7475306846153846</v>
      </c>
      <c r="F235">
        <f>9.15843561538462*(0.3)</f>
        <v>2.7475306846153846</v>
      </c>
      <c r="G235">
        <f>5.49506136923077*(0.3)</f>
        <v>1.6485184107692308</v>
      </c>
      <c r="H235">
        <f>9.15843561538462*(0.3)</f>
        <v>2.7475306846153846</v>
      </c>
      <c r="I235">
        <f>9.15843561538462*(0.3)</f>
        <v>2.7475306846153846</v>
      </c>
      <c r="J235">
        <f>-1.83168712307692*(0.3)</f>
        <v>-0.54950613692307682</v>
      </c>
      <c r="K235">
        <f>9.15843561538462*(0.3)</f>
        <v>2.7475306846153846</v>
      </c>
      <c r="L235">
        <f>4.48763345153846*(0.3)</f>
        <v>1.3462900354615384</v>
      </c>
      <c r="M235">
        <f>10.0742791769231*(0.3)</f>
        <v>3.0222837530769233</v>
      </c>
      <c r="N235">
        <f>9.15843561538462*(0.3)</f>
        <v>2.7475306846153846</v>
      </c>
    </row>
    <row r="236" spans="1:14" x14ac:dyDescent="0.25">
      <c r="A236">
        <f>-304.8106539*(0.3)</f>
        <v>-91.443196169999993</v>
      </c>
      <c r="B236">
        <f>23.4469733769231*(0.3)</f>
        <v>7.0340920130769229</v>
      </c>
      <c r="C236">
        <f>70.3409201307692*(0.3)</f>
        <v>21.10227603923077</v>
      </c>
      <c r="D236">
        <f>23.4469733769231*(0.3)</f>
        <v>7.0340920130769229</v>
      </c>
      <c r="E236">
        <f>23.4469733769231*(0.3)</f>
        <v>7.0340920130769229</v>
      </c>
      <c r="F236">
        <f>23.4469733769231*(0.3)</f>
        <v>7.0340920130769229</v>
      </c>
      <c r="G236">
        <f>14.0681840261538*(0.3)</f>
        <v>4.2204552078461539</v>
      </c>
      <c r="H236">
        <f>23.4469733769231*(0.3)</f>
        <v>7.0340920130769229</v>
      </c>
      <c r="I236">
        <f>23.4469733769231*(0.3)</f>
        <v>7.0340920130769229</v>
      </c>
      <c r="J236">
        <f>-4.68939467538461*(0.3)</f>
        <v>-1.4068184026153843</v>
      </c>
      <c r="K236">
        <f>23.4469733769231*(0.3)</f>
        <v>7.0340920130769229</v>
      </c>
      <c r="L236">
        <f>11.4890169546923*(0.3)</f>
        <v>3.4467050864076918</v>
      </c>
      <c r="M236">
        <f>25.7916707146154*(0.3)</f>
        <v>7.7375012143846149</v>
      </c>
      <c r="N236">
        <f>23.4469733769231*(0.3)</f>
        <v>7.0340920130769229</v>
      </c>
    </row>
    <row r="237" spans="1:14" x14ac:dyDescent="0.25">
      <c r="A237">
        <f>-140.5732857*(0.3)</f>
        <v>-42.171985710000001</v>
      </c>
      <c r="B237">
        <f>10.8133296692308*(0.3)</f>
        <v>3.2439989007692307</v>
      </c>
      <c r="C237">
        <f>32.4399890076923*(0.3)</f>
        <v>9.7319967023076934</v>
      </c>
      <c r="D237">
        <f>10.8133296692308*(0.3)</f>
        <v>3.2439989007692307</v>
      </c>
      <c r="E237">
        <f>10.8133296692308*(0.3)</f>
        <v>3.2439989007692307</v>
      </c>
      <c r="F237">
        <f>10.8133296692308*(0.3)</f>
        <v>3.2439989007692307</v>
      </c>
      <c r="G237">
        <f>6.48799780153846*(0.3)</f>
        <v>1.9463993404615383</v>
      </c>
      <c r="H237">
        <f>10.8133296692308*(0.3)</f>
        <v>3.2439989007692307</v>
      </c>
      <c r="I237">
        <f>10.8133296692308*(0.3)</f>
        <v>3.2439989007692307</v>
      </c>
      <c r="J237">
        <f>-2.16266593384615*(0.3)</f>
        <v>-0.64879978015384598</v>
      </c>
      <c r="K237">
        <f>10.8133296692308*(0.3)</f>
        <v>3.2439989007692307</v>
      </c>
      <c r="L237">
        <f>5.29853153792308*(0.3)</f>
        <v>1.5895594613769231</v>
      </c>
      <c r="M237">
        <f>11.8946626361538*(0.3)</f>
        <v>3.5683987908461545</v>
      </c>
      <c r="N237">
        <f>10.8133296692308*(0.3)</f>
        <v>3.2439989007692307</v>
      </c>
    </row>
    <row r="238" spans="1:14" x14ac:dyDescent="0.25">
      <c r="A238">
        <f>-342.1610754*(0.3)</f>
        <v>-102.64832262</v>
      </c>
      <c r="B238">
        <f>26.3200827230769*(0.3)</f>
        <v>7.8960248169230773</v>
      </c>
      <c r="C238">
        <f>78.9602481692308*(0.3)</f>
        <v>23.688074450769232</v>
      </c>
      <c r="D238">
        <f>26.3200827230769*(0.3)</f>
        <v>7.8960248169230773</v>
      </c>
      <c r="E238">
        <f>26.3200827230769*(0.3)</f>
        <v>7.8960248169230773</v>
      </c>
      <c r="F238">
        <f>26.3200827230769*(0.3)</f>
        <v>7.8960248169230773</v>
      </c>
      <c r="G238">
        <f>15.7920496338462*(0.3)</f>
        <v>4.7376148901538464</v>
      </c>
      <c r="H238">
        <f>26.3200827230769*(0.3)</f>
        <v>7.8960248169230773</v>
      </c>
      <c r="I238">
        <f>26.3200827230769*(0.3)</f>
        <v>7.8960248169230773</v>
      </c>
      <c r="J238">
        <f>-5.26401654461538*(0.3)</f>
        <v>-1.579204963384615</v>
      </c>
      <c r="K238">
        <f>26.3200827230769*(0.3)</f>
        <v>7.8960248169230773</v>
      </c>
      <c r="L238">
        <f>12.8968405343077*(0.3)</f>
        <v>3.8690521602923083</v>
      </c>
      <c r="M238">
        <f>28.9520909953846*(0.3)</f>
        <v>8.6856272986153851</v>
      </c>
      <c r="N238">
        <f>26.3200827230769*(0.3)</f>
        <v>7.8960248169230773</v>
      </c>
    </row>
    <row r="239" spans="1:14" x14ac:dyDescent="0.25">
      <c r="A239">
        <f>-170.1189565*(0.3)</f>
        <v>-51.035686949999999</v>
      </c>
      <c r="B239">
        <f>13.0860735769231*(0.3)</f>
        <v>3.9258220730769229</v>
      </c>
      <c r="C239">
        <f>39.2582207307692*(0.3)</f>
        <v>11.777466219230769</v>
      </c>
      <c r="D239">
        <f>13.0860735769231*(0.3)</f>
        <v>3.9258220730769229</v>
      </c>
      <c r="E239">
        <f>13.0860735769231*(0.3)</f>
        <v>3.9258220730769229</v>
      </c>
      <c r="F239">
        <f>13.0860735769231*(0.3)</f>
        <v>3.9258220730769229</v>
      </c>
      <c r="G239">
        <f>7.85164414615385*(0.3)</f>
        <v>2.3554932438461536</v>
      </c>
      <c r="H239">
        <f>13.0860735769231*(0.3)</f>
        <v>3.9258220730769229</v>
      </c>
      <c r="I239">
        <f>13.0860735769231*(0.3)</f>
        <v>3.9258220730769229</v>
      </c>
      <c r="J239">
        <f>-2.61721471538461*(0.3)</f>
        <v>-0.78516441461538444</v>
      </c>
      <c r="K239">
        <f>13.0860735769231*(0.3)</f>
        <v>3.9258220730769229</v>
      </c>
      <c r="L239">
        <f>6.41217605269231*(0.3)</f>
        <v>1.9236528158076922</v>
      </c>
      <c r="M239">
        <f>14.3946809346154*(0.3)</f>
        <v>4.3184042803846152</v>
      </c>
      <c r="N239">
        <f>13.0860735769231*(0.3)</f>
        <v>3.9258220730769229</v>
      </c>
    </row>
    <row r="240" spans="1:14" x14ac:dyDescent="0.25">
      <c r="A240">
        <f>-376.4261411*(0.3)</f>
        <v>-112.92784232999999</v>
      </c>
      <c r="B240">
        <f>28.9558570076923*(0.3)</f>
        <v>8.686757102307693</v>
      </c>
      <c r="C240">
        <f>86.8675710230769*(0.3)</f>
        <v>26.060271306923074</v>
      </c>
      <c r="D240">
        <f>28.9558570076923*(0.3)</f>
        <v>8.686757102307693</v>
      </c>
      <c r="E240">
        <f>28.9558570076923*(0.3)</f>
        <v>8.686757102307693</v>
      </c>
      <c r="F240">
        <f>28.9558570076923*(0.3)</f>
        <v>8.686757102307693</v>
      </c>
      <c r="G240">
        <f>17.3735142046154*(0.3)</f>
        <v>5.2120542613846155</v>
      </c>
      <c r="H240">
        <f>28.9558570076923*(0.3)</f>
        <v>8.686757102307693</v>
      </c>
      <c r="I240">
        <f>28.9558570076923*(0.3)</f>
        <v>8.686757102307693</v>
      </c>
      <c r="J240">
        <f>-5.79117140153846*(0.3)</f>
        <v>-1.7373514204615381</v>
      </c>
      <c r="K240">
        <f>28.9558570076923*(0.3)</f>
        <v>8.686757102307693</v>
      </c>
      <c r="L240">
        <f>14.1883699337692*(0.3)</f>
        <v>4.256510980130769</v>
      </c>
      <c r="M240">
        <f>31.8514427084615*(0.3)</f>
        <v>9.5554328125384629</v>
      </c>
      <c r="N240">
        <f>28.9558570076923*(0.3)</f>
        <v>8.686757102307693</v>
      </c>
    </row>
    <row r="241" spans="1:14" x14ac:dyDescent="0.25">
      <c r="A241">
        <f>-6.937839753*(0.3)</f>
        <v>-2.0813519259</v>
      </c>
      <c r="B241">
        <f>0.533679981*(0.3)</f>
        <v>0.1601039943</v>
      </c>
      <c r="C241">
        <f>1.601039943*(0.3)</f>
        <v>0.48031198289999999</v>
      </c>
      <c r="D241">
        <f>0.533679981*(0.3)</f>
        <v>0.1601039943</v>
      </c>
      <c r="E241">
        <f>0.533679981*(0.3)</f>
        <v>0.1601039943</v>
      </c>
      <c r="F241">
        <f>0.533679981*(0.3)</f>
        <v>0.1601039943</v>
      </c>
      <c r="G241">
        <f>0.3202079886*(0.3)</f>
        <v>9.6062396580000001E-2</v>
      </c>
      <c r="H241">
        <f>0.533679981*(0.3)</f>
        <v>0.1601039943</v>
      </c>
      <c r="I241">
        <f>0.533679981*(0.3)</f>
        <v>0.1601039943</v>
      </c>
      <c r="J241">
        <f>-0.1067359962*(0.3)</f>
        <v>-3.2020798859999991E-2</v>
      </c>
      <c r="K241">
        <f>0.533679981*(0.3)</f>
        <v>0.1601039943</v>
      </c>
      <c r="L241">
        <f>0.26150319069*(0.3)</f>
        <v>7.8450957207000002E-2</v>
      </c>
      <c r="M241">
        <f>0.5870479791*(0.3)</f>
        <v>0.17611439373000001</v>
      </c>
      <c r="N241">
        <f>0.533679981*(0.3)</f>
        <v>0.1601039943</v>
      </c>
    </row>
    <row r="242" spans="1:14" x14ac:dyDescent="0.25">
      <c r="A242">
        <f>-121.0673062*(0.3)</f>
        <v>-36.320191860000001</v>
      </c>
      <c r="B242">
        <f>9.31286970769231*(0.3)</f>
        <v>2.7938609123076921</v>
      </c>
      <c r="C242">
        <f>27.9386091230769*(0.3)</f>
        <v>8.3815827369230771</v>
      </c>
      <c r="D242">
        <f>9.31286970769231*(0.3)</f>
        <v>2.7938609123076921</v>
      </c>
      <c r="E242">
        <f>9.31286970769231*(0.3)</f>
        <v>2.7938609123076921</v>
      </c>
      <c r="F242">
        <f>9.31286970769231*(0.3)</f>
        <v>2.7938609123076921</v>
      </c>
      <c r="G242">
        <f>5.58772182461538*(0.3)</f>
        <v>1.6763165473846151</v>
      </c>
      <c r="H242">
        <f>9.31286970769231*(0.3)</f>
        <v>2.7938609123076921</v>
      </c>
      <c r="I242">
        <f>9.31286970769231*(0.3)</f>
        <v>2.7938609123076921</v>
      </c>
      <c r="J242">
        <f>-1.86257394153846*(0.3)</f>
        <v>-0.55877218246153826</v>
      </c>
      <c r="K242">
        <f>9.31286970769231*(0.3)</f>
        <v>2.7938609123076921</v>
      </c>
      <c r="L242">
        <f>4.56330615676923*(0.3)</f>
        <v>1.3689918470307691</v>
      </c>
      <c r="M242">
        <f>10.2441566784615*(0.3)</f>
        <v>3.0732470035384618</v>
      </c>
      <c r="N242">
        <f>9.31286970769231*(0.3)</f>
        <v>2.7938609123076921</v>
      </c>
    </row>
    <row r="243" spans="1:14" x14ac:dyDescent="0.25">
      <c r="A243">
        <f>-4.265585235*(0.3)</f>
        <v>-1.2796755704999998</v>
      </c>
      <c r="B243">
        <f>0.328121941153846*(0.3)</f>
        <v>9.8436582346153836E-2</v>
      </c>
      <c r="C243">
        <f>0.984365823461538*(0.3)</f>
        <v>0.29530974703846152</v>
      </c>
      <c r="D243">
        <f>0.328121941153846*(0.3)</f>
        <v>9.8436582346153836E-2</v>
      </c>
      <c r="E243">
        <f>0.328121941153846*(0.3)</f>
        <v>9.8436582346153836E-2</v>
      </c>
      <c r="F243">
        <f>0.328121941153846*(0.3)</f>
        <v>9.8436582346153836E-2</v>
      </c>
      <c r="G243">
        <f>0.196873164692308*(0.3)</f>
        <v>5.9061949407692299E-2</v>
      </c>
      <c r="H243">
        <f>0.328121941153846*(0.3)</f>
        <v>9.8436582346153836E-2</v>
      </c>
      <c r="I243">
        <f>0.328121941153846*(0.3)</f>
        <v>9.8436582346153836E-2</v>
      </c>
      <c r="J243">
        <f>-0.0656243882307692*(0.3)</f>
        <v>-1.9687316469230765E-2</v>
      </c>
      <c r="K243">
        <f>0.328121941153846*(0.3)</f>
        <v>9.8436582346153836E-2</v>
      </c>
      <c r="L243">
        <f>0.160779751165385*(0.3)</f>
        <v>4.8233925349615375E-2</v>
      </c>
      <c r="M243">
        <f>0.360934135269231*(0.3)</f>
        <v>0.10828024058076924</v>
      </c>
      <c r="N243">
        <f>0.328121941153846*(0.3)</f>
        <v>9.8436582346153836E-2</v>
      </c>
    </row>
    <row r="244" spans="1:14" x14ac:dyDescent="0.25">
      <c r="A244">
        <f>-161.1820895*(0.3)</f>
        <v>-48.354626849999995</v>
      </c>
      <c r="B244">
        <f>12.3986222692308*(0.3)</f>
        <v>3.7195866807692304</v>
      </c>
      <c r="C244">
        <f>37.1958668076923*(0.3)</f>
        <v>11.158760042307691</v>
      </c>
      <c r="D244">
        <f>12.3986222692308*(0.3)</f>
        <v>3.7195866807692304</v>
      </c>
      <c r="E244">
        <f>12.3986222692308*(0.3)</f>
        <v>3.7195866807692304</v>
      </c>
      <c r="F244">
        <f>12.3986222692308*(0.3)</f>
        <v>3.7195866807692304</v>
      </c>
      <c r="G244">
        <f>7.43917336153846*(0.3)</f>
        <v>2.2317520084615383</v>
      </c>
      <c r="H244">
        <f>12.3986222692308*(0.3)</f>
        <v>3.7195866807692304</v>
      </c>
      <c r="I244">
        <f>12.3986222692308*(0.3)</f>
        <v>3.7195866807692304</v>
      </c>
      <c r="J244">
        <f>-2.47972445384615*(0.3)</f>
        <v>-0.74391733615384592</v>
      </c>
      <c r="K244">
        <f>12.3986222692308*(0.3)</f>
        <v>3.7195866807692304</v>
      </c>
      <c r="L244">
        <f>6.07532491192308*(0.3)</f>
        <v>1.822597473576923</v>
      </c>
      <c r="M244">
        <f>13.6384844961538*(0.3)</f>
        <v>4.0915453488461537</v>
      </c>
      <c r="N244">
        <f>12.3986222692308*(0.3)</f>
        <v>3.7195866807692304</v>
      </c>
    </row>
    <row r="245" spans="1:14" x14ac:dyDescent="0.25">
      <c r="A245">
        <f>-5.114630167*(0.3)</f>
        <v>-1.5343890500999999</v>
      </c>
      <c r="B245">
        <f>0.393433089769231*(0.3)</f>
        <v>0.11802992693076922</v>
      </c>
      <c r="C245">
        <f>1.18029926930769*(0.3)</f>
        <v>0.35408978079230768</v>
      </c>
      <c r="D245">
        <f>0.393433089769231*(0.3)</f>
        <v>0.11802992693076922</v>
      </c>
      <c r="E245">
        <f>0.393433089769231*(0.3)</f>
        <v>0.11802992693076922</v>
      </c>
      <c r="F245">
        <f>0.393433089769231*(0.3)</f>
        <v>0.11802992693076922</v>
      </c>
      <c r="G245">
        <f>0.236059853861538*(0.3)</f>
        <v>7.0817956158461523E-2</v>
      </c>
      <c r="H245">
        <f>0.393433089769231*(0.3)</f>
        <v>0.11802992693076922</v>
      </c>
      <c r="I245">
        <f>0.393433089769231*(0.3)</f>
        <v>0.11802992693076922</v>
      </c>
      <c r="J245">
        <f>-0.0786866179538461*(0.3)</f>
        <v>-2.3605985386153838E-2</v>
      </c>
      <c r="K245">
        <f>0.393433089769231*(0.3)</f>
        <v>0.11802992693076922</v>
      </c>
      <c r="L245">
        <f>0.192782213986923*(0.3)</f>
        <v>5.7834664196076913E-2</v>
      </c>
      <c r="M245">
        <f>0.432776398746154*(0.3)</f>
        <v>0.12983291962384616</v>
      </c>
      <c r="N245">
        <f>0.393433089769231*(0.3)</f>
        <v>0.11802992693076922</v>
      </c>
    </row>
    <row r="246" spans="1:14" x14ac:dyDescent="0.25">
      <c r="A246">
        <f>-201.6396633*(0.3)</f>
        <v>-60.491898989999996</v>
      </c>
      <c r="B246">
        <f>15.5107433307692*(0.3)</f>
        <v>4.6532229992307688</v>
      </c>
      <c r="C246">
        <f>46.5322299923077*(0.3)</f>
        <v>13.959668997692306</v>
      </c>
      <c r="D246">
        <f>15.5107433307692*(0.3)</f>
        <v>4.6532229992307688</v>
      </c>
      <c r="E246">
        <f>15.5107433307692*(0.3)</f>
        <v>4.6532229992307688</v>
      </c>
      <c r="F246">
        <f>15.5107433307692*(0.3)</f>
        <v>4.6532229992307688</v>
      </c>
      <c r="G246">
        <f>9.30644599846154*(0.3)</f>
        <v>2.791933799538461</v>
      </c>
      <c r="H246">
        <f>15.5107433307692*(0.3)</f>
        <v>4.6532229992307688</v>
      </c>
      <c r="I246">
        <f>15.5107433307692*(0.3)</f>
        <v>4.6532229992307688</v>
      </c>
      <c r="J246">
        <f>-3.10214866615385*(0.3)</f>
        <v>-0.93064459984615366</v>
      </c>
      <c r="K246">
        <f>15.5107433307692*(0.3)</f>
        <v>4.6532229992307688</v>
      </c>
      <c r="L246">
        <f>7.60026423207692*(0.3)</f>
        <v>2.2800792696230769</v>
      </c>
      <c r="M246">
        <f>17.0618176638462*(0.3)</f>
        <v>5.1185452991538467</v>
      </c>
      <c r="N246">
        <f>15.5107433307692*(0.3)</f>
        <v>4.6532229992307688</v>
      </c>
    </row>
    <row r="247" spans="1:14" x14ac:dyDescent="0.25">
      <c r="A247">
        <f>-9.63010597*(0.3)</f>
        <v>-2.8890317910000003</v>
      </c>
      <c r="B247">
        <f>0.740777382307692*(0.3)</f>
        <v>0.22223321469230772</v>
      </c>
      <c r="C247">
        <f>2.22233214692308*(0.3)</f>
        <v>0.66669964407692306</v>
      </c>
      <c r="D247">
        <f>0.740777382307692*(0.3)</f>
        <v>0.22223321469230772</v>
      </c>
      <c r="E247">
        <f>0.740777382307692*(0.3)</f>
        <v>0.22223321469230772</v>
      </c>
      <c r="F247">
        <f>0.740777382307692*(0.3)</f>
        <v>0.22223321469230772</v>
      </c>
      <c r="G247">
        <f>0.444466429384615*(0.3)</f>
        <v>0.13333992881538462</v>
      </c>
      <c r="H247">
        <f>0.740777382307692*(0.3)</f>
        <v>0.22223321469230772</v>
      </c>
      <c r="I247">
        <f>0.740777382307692*(0.3)</f>
        <v>0.22223321469230772</v>
      </c>
      <c r="J247">
        <f>-0.148155476461538*(0.3)</f>
        <v>-4.4446642938461532E-2</v>
      </c>
      <c r="K247">
        <f>0.740777382307692*(0.3)</f>
        <v>0.22223321469230772</v>
      </c>
      <c r="L247">
        <f>0.362980917330769*(0.3)</f>
        <v>0.10889427519923077</v>
      </c>
      <c r="M247">
        <f>0.814855120538462*(0.3)</f>
        <v>0.24445653616153851</v>
      </c>
      <c r="N247">
        <f>0.740777382307692*(0.3)</f>
        <v>0.22223321469230772</v>
      </c>
    </row>
    <row r="248" spans="1:14" x14ac:dyDescent="0.25">
      <c r="A248">
        <f>-242.6815698*(0.3)</f>
        <v>-72.804470940000002</v>
      </c>
      <c r="B248">
        <f>18.6678130615385*(0.3)</f>
        <v>5.6003439184615376</v>
      </c>
      <c r="C248">
        <f>56.0034391846154*(0.3)</f>
        <v>16.801031755384614</v>
      </c>
      <c r="D248">
        <f>18.6678130615385*(0.3)</f>
        <v>5.6003439184615376</v>
      </c>
      <c r="E248">
        <f>18.6678130615385*(0.3)</f>
        <v>5.6003439184615376</v>
      </c>
      <c r="F248">
        <f>18.6678130615385*(0.3)</f>
        <v>5.6003439184615376</v>
      </c>
      <c r="G248">
        <f>11.2006878369231*(0.3)</f>
        <v>3.3602063510769224</v>
      </c>
      <c r="H248">
        <f>18.6678130615385*(0.3)</f>
        <v>5.6003439184615376</v>
      </c>
      <c r="I248">
        <f>18.6678130615385*(0.3)</f>
        <v>5.6003439184615376</v>
      </c>
      <c r="J248">
        <f>-3.73356261230769*(0.3)</f>
        <v>-1.1200687836923073</v>
      </c>
      <c r="K248">
        <f>18.6678130615385*(0.3)</f>
        <v>5.6003439184615376</v>
      </c>
      <c r="L248">
        <f>9.14722840015385*(0.3)</f>
        <v>2.7441685200461539</v>
      </c>
      <c r="M248">
        <f>20.5345943676923*(0.3)</f>
        <v>6.1603783103076921</v>
      </c>
      <c r="N248">
        <f>18.6678130615385*(0.3)</f>
        <v>5.6003439184615376</v>
      </c>
    </row>
    <row r="249" spans="1:14" x14ac:dyDescent="0.25">
      <c r="A249">
        <f>-11.79026243*(0.3)</f>
        <v>-3.5370787290000001</v>
      </c>
      <c r="B249">
        <f>0.906943263846154*(0.3)</f>
        <v>0.27208297915384616</v>
      </c>
      <c r="C249">
        <f>2.72082979153846*(0.3)</f>
        <v>0.81624893746153848</v>
      </c>
      <c r="D249">
        <f>0.906943263846154*(0.3)</f>
        <v>0.27208297915384616</v>
      </c>
      <c r="E249">
        <f>0.906943263846154*(0.3)</f>
        <v>0.27208297915384616</v>
      </c>
      <c r="F249">
        <f>0.906943263846154*(0.3)</f>
        <v>0.27208297915384616</v>
      </c>
      <c r="G249">
        <f>0.544165958307692*(0.3)</f>
        <v>0.1632497874923077</v>
      </c>
      <c r="H249">
        <f>0.906943263846154*(0.3)</f>
        <v>0.27208297915384616</v>
      </c>
      <c r="I249">
        <f>0.906943263846154*(0.3)</f>
        <v>0.27208297915384616</v>
      </c>
      <c r="J249">
        <f>-0.181388652769231*(0.3)</f>
        <v>-5.4416595830769222E-2</v>
      </c>
      <c r="K249">
        <f>0.906943263846154*(0.3)</f>
        <v>0.27208297915384616</v>
      </c>
      <c r="L249">
        <f>0.444402199284615*(0.3)</f>
        <v>0.1333206597853846</v>
      </c>
      <c r="M249">
        <f>0.997637590230769*(0.3)</f>
        <v>0.29929127706923081</v>
      </c>
      <c r="N249">
        <f>0.906943263846154*(0.3)</f>
        <v>0.27208297915384616</v>
      </c>
    </row>
    <row r="250" spans="1:14" x14ac:dyDescent="0.25">
      <c r="A250">
        <f>-282.9254989*(0.3)</f>
        <v>-84.877649669999997</v>
      </c>
      <c r="B250">
        <f>21.7634999153846*(0.3)</f>
        <v>6.5290499746153836</v>
      </c>
      <c r="C250">
        <f>65.2904997461538*(0.3)</f>
        <v>19.587149923846152</v>
      </c>
      <c r="D250">
        <f>21.7634999153846*(0.3)</f>
        <v>6.5290499746153836</v>
      </c>
      <c r="E250">
        <f>21.7634999153846*(0.3)</f>
        <v>6.5290499746153836</v>
      </c>
      <c r="F250">
        <f>21.7634999153846*(0.3)</f>
        <v>6.5290499746153836</v>
      </c>
      <c r="G250">
        <f>13.0580999492308*(0.3)</f>
        <v>3.91742998476923</v>
      </c>
      <c r="H250">
        <f>21.7634999153846*(0.3)</f>
        <v>6.5290499746153836</v>
      </c>
      <c r="I250">
        <f>21.7634999153846*(0.3)</f>
        <v>6.5290499746153836</v>
      </c>
      <c r="J250">
        <f>-4.35269998307692*(0.3)</f>
        <v>-1.3058099949230764</v>
      </c>
      <c r="K250">
        <f>21.7634999153846*(0.3)</f>
        <v>6.5290499746153836</v>
      </c>
      <c r="L250">
        <f>10.6641149585385*(0.3)</f>
        <v>3.1992344875615379</v>
      </c>
      <c r="M250">
        <f>23.9398499069231*(0.3)</f>
        <v>7.1819549720769222</v>
      </c>
      <c r="N250">
        <f>21.7634999153846*(0.3)</f>
        <v>6.5290499746153836</v>
      </c>
    </row>
    <row r="251" spans="1:14" x14ac:dyDescent="0.25">
      <c r="A251">
        <f>-13.6659979*(0.3)</f>
        <v>-4.0997993700000004</v>
      </c>
      <c r="B251">
        <f>1.05123060769231*(0.3)</f>
        <v>0.31536918230769229</v>
      </c>
      <c r="C251">
        <f>3.15369182307692*(0.3)</f>
        <v>0.94610754692307697</v>
      </c>
      <c r="D251">
        <f>1.05123060769231*(0.3)</f>
        <v>0.31536918230769229</v>
      </c>
      <c r="E251">
        <f>1.05123060769231*(0.3)</f>
        <v>0.31536918230769229</v>
      </c>
      <c r="F251">
        <f>1.05123060769231*(0.3)</f>
        <v>0.31536918230769229</v>
      </c>
      <c r="G251">
        <f>0.630738364615385*(0.3)</f>
        <v>0.18922150938461538</v>
      </c>
      <c r="H251">
        <f>1.05123060769231*(0.3)</f>
        <v>0.31536918230769229</v>
      </c>
      <c r="I251">
        <f>1.05123060769231*(0.3)</f>
        <v>0.31536918230769229</v>
      </c>
      <c r="J251">
        <f>-0.210246121538462*(0.3)</f>
        <v>-6.3073836461538454E-2</v>
      </c>
      <c r="K251">
        <f>1.05123060769231*(0.3)</f>
        <v>0.31536918230769229</v>
      </c>
      <c r="L251">
        <f>0.515102997769231*(0.3)</f>
        <v>0.15453089933076922</v>
      </c>
      <c r="M251">
        <f>1.15635366846154*(0.3)</f>
        <v>0.34690610053846155</v>
      </c>
      <c r="N251">
        <f>1.05123060769231*(0.3)</f>
        <v>0.31536918230769229</v>
      </c>
    </row>
    <row r="252" spans="1:14" x14ac:dyDescent="0.25">
      <c r="A252">
        <f>-322.9007678*(0.3)</f>
        <v>-96.870230339999992</v>
      </c>
      <c r="B252">
        <f>24.8385206*(0.3)</f>
        <v>7.451556179999999</v>
      </c>
      <c r="C252">
        <f>74.5155618*(0.3)</f>
        <v>22.354668539999999</v>
      </c>
      <c r="D252">
        <f>24.8385206*(0.3)</f>
        <v>7.451556179999999</v>
      </c>
      <c r="E252">
        <f>24.8385206*(0.3)</f>
        <v>7.451556179999999</v>
      </c>
      <c r="F252">
        <f>24.8385206*(0.3)</f>
        <v>7.451556179999999</v>
      </c>
      <c r="G252">
        <f>14.90311236*(0.3)</f>
        <v>4.4709337079999996</v>
      </c>
      <c r="H252">
        <f>24.8385206*(0.3)</f>
        <v>7.451556179999999</v>
      </c>
      <c r="I252">
        <f>24.8385206*(0.3)</f>
        <v>7.451556179999999</v>
      </c>
      <c r="J252">
        <f>-4.96770412*(0.3)</f>
        <v>-1.4903112359999995</v>
      </c>
      <c r="K252">
        <f>24.8385206*(0.3)</f>
        <v>7.451556179999999</v>
      </c>
      <c r="L252">
        <f>12.170875094*(0.3)</f>
        <v>3.6512625281999997</v>
      </c>
      <c r="M252">
        <f>27.32237266*(0.3)</f>
        <v>8.1967117980000008</v>
      </c>
      <c r="N252">
        <f>24.8385206*(0.3)</f>
        <v>7.451556179999999</v>
      </c>
    </row>
    <row r="253" spans="1:14" x14ac:dyDescent="0.25">
      <c r="A253">
        <f>-16.09649119*(0.3)</f>
        <v>-4.8289473569999997</v>
      </c>
      <c r="B253">
        <f>1.23819163*(0.3)</f>
        <v>0.37145748899999992</v>
      </c>
      <c r="C253">
        <f>3.71457489*(0.3)</f>
        <v>1.1143724669999997</v>
      </c>
      <c r="D253">
        <f>1.23819163*(0.3)</f>
        <v>0.37145748899999992</v>
      </c>
      <c r="E253">
        <f>1.23819163*(0.3)</f>
        <v>0.37145748899999992</v>
      </c>
      <c r="F253">
        <f>1.23819163*(0.3)</f>
        <v>0.37145748899999992</v>
      </c>
      <c r="G253">
        <f>0.742914978*(0.3)</f>
        <v>0.22287449339999996</v>
      </c>
      <c r="H253">
        <f>1.23819163*(0.3)</f>
        <v>0.37145748899999992</v>
      </c>
      <c r="I253">
        <f>1.23819163*(0.3)</f>
        <v>0.37145748899999992</v>
      </c>
      <c r="J253">
        <f>-0.247638326*(0.3)</f>
        <v>-7.4291497799999967E-2</v>
      </c>
      <c r="K253">
        <f>1.23819163*(0.3)</f>
        <v>0.37145748899999992</v>
      </c>
      <c r="L253">
        <f>0.6067138987*(0.3)</f>
        <v>0.18201416960999997</v>
      </c>
      <c r="M253">
        <f>1.362010793*(0.3)</f>
        <v>0.40860323789999992</v>
      </c>
      <c r="N253">
        <f>1.23819163*(0.3)</f>
        <v>0.37145748899999992</v>
      </c>
    </row>
    <row r="254" spans="1:14" x14ac:dyDescent="0.25">
      <c r="A254">
        <f>-363.3743562*(0.3)</f>
        <v>-109.01230686000001</v>
      </c>
      <c r="B254">
        <f>27.9518735538462*(0.3)</f>
        <v>8.385562066153847</v>
      </c>
      <c r="C254">
        <f>83.8556206615385*(0.3)</f>
        <v>25.156686198461539</v>
      </c>
      <c r="D254">
        <f>27.9518735538462*(0.3)</f>
        <v>8.385562066153847</v>
      </c>
      <c r="E254">
        <f>27.9518735538462*(0.3)</f>
        <v>8.385562066153847</v>
      </c>
      <c r="F254">
        <f>27.9518735538462*(0.3)</f>
        <v>8.385562066153847</v>
      </c>
      <c r="G254">
        <f>16.7711241323077*(0.3)</f>
        <v>5.0313372396923084</v>
      </c>
      <c r="H254">
        <f>27.9518735538462*(0.3)</f>
        <v>8.385562066153847</v>
      </c>
      <c r="I254">
        <f>27.9518735538462*(0.3)</f>
        <v>8.385562066153847</v>
      </c>
      <c r="J254">
        <f>-5.59037471076923*(0.3)</f>
        <v>-1.6771124132307689</v>
      </c>
      <c r="K254">
        <f>27.9518735538462*(0.3)</f>
        <v>8.385562066153847</v>
      </c>
      <c r="L254">
        <f>13.6964180413846*(0.3)</f>
        <v>4.1089254124153847</v>
      </c>
      <c r="M254">
        <f>30.7470609092308*(0.3)</f>
        <v>9.2241182727692319</v>
      </c>
      <c r="N254">
        <f>27.9518735538462*(0.3)</f>
        <v>8.385562066153847</v>
      </c>
    </row>
    <row r="255" spans="1:14" x14ac:dyDescent="0.25">
      <c r="A255">
        <f>-20.19148265*(0.3)</f>
        <v>-6.0574447950000003</v>
      </c>
      <c r="B255">
        <f>1.55319097307692*(0.3)</f>
        <v>0.46595729192307689</v>
      </c>
      <c r="C255">
        <f>4.65957291923077*(0.3)</f>
        <v>1.3978718757692308</v>
      </c>
      <c r="D255">
        <f>1.55319097307692*(0.3)</f>
        <v>0.46595729192307689</v>
      </c>
      <c r="E255">
        <f>1.55319097307692*(0.3)</f>
        <v>0.46595729192307689</v>
      </c>
      <c r="F255">
        <f>1.55319097307692*(0.3)</f>
        <v>0.46595729192307689</v>
      </c>
      <c r="G255">
        <f>0.931914583846154*(0.3)</f>
        <v>0.27957437515384614</v>
      </c>
      <c r="H255">
        <f>1.55319097307692*(0.3)</f>
        <v>0.46595729192307689</v>
      </c>
      <c r="I255">
        <f>1.55319097307692*(0.3)</f>
        <v>0.46595729192307689</v>
      </c>
      <c r="J255">
        <f>-0.310638194615385*(0.3)</f>
        <v>-9.3191458384615358E-2</v>
      </c>
      <c r="K255">
        <f>1.55319097307692*(0.3)</f>
        <v>0.46595729192307689</v>
      </c>
      <c r="L255">
        <f>0.761063576807692*(0.3)</f>
        <v>0.2283190730423077</v>
      </c>
      <c r="M255">
        <f>1.70851007038462*(0.3)</f>
        <v>0.5125530211153847</v>
      </c>
      <c r="N255">
        <f>1.55319097307692*(0.3)</f>
        <v>0.46595729192307689</v>
      </c>
    </row>
    <row r="256" spans="1:14" x14ac:dyDescent="0.25">
      <c r="A256">
        <f>-402.2491971*(0.3)</f>
        <v>-120.67475913</v>
      </c>
      <c r="B256">
        <f>30.9422459307692*(0.3)</f>
        <v>9.2826737792307696</v>
      </c>
      <c r="C256">
        <f>92.8267377923077*(0.3)</f>
        <v>27.848021337692309</v>
      </c>
      <c r="D256">
        <f>30.9422459307692*(0.3)</f>
        <v>9.2826737792307696</v>
      </c>
      <c r="E256">
        <f>30.9422459307692*(0.3)</f>
        <v>9.2826737792307696</v>
      </c>
      <c r="F256">
        <f>30.9422459307692*(0.3)</f>
        <v>9.2826737792307696</v>
      </c>
      <c r="G256">
        <f>18.5653475584615*(0.3)</f>
        <v>5.5696042675384616</v>
      </c>
      <c r="H256">
        <f>30.9422459307692*(0.3)</f>
        <v>9.2826737792307696</v>
      </c>
      <c r="I256">
        <f>30.9422459307692*(0.3)</f>
        <v>9.2826737792307696</v>
      </c>
      <c r="J256">
        <f>-6.18844918615384*(0.3)</f>
        <v>-1.8565347558461534</v>
      </c>
      <c r="K256">
        <f>30.9422459307692*(0.3)</f>
        <v>9.2826737792307696</v>
      </c>
      <c r="L256">
        <f>15.1617005060769*(0.3)</f>
        <v>4.5485101518230771</v>
      </c>
      <c r="M256">
        <f>34.0364705238462*(0.3)</f>
        <v>10.210941157153846</v>
      </c>
      <c r="N256">
        <f>30.9422459307692*(0.3)</f>
        <v>9.2826737792307696</v>
      </c>
    </row>
    <row r="257" spans="1:14" x14ac:dyDescent="0.25">
      <c r="A257">
        <f>-1.259274789*(0.3)</f>
        <v>-0.3777824367</v>
      </c>
      <c r="B257">
        <f>0.0968672914615385*(0.3)</f>
        <v>2.9060187438461539E-2</v>
      </c>
      <c r="C257">
        <f>0.290601874384615*(0.3)</f>
        <v>8.718056231538461E-2</v>
      </c>
      <c r="D257">
        <f>0.0968672914615385*(0.3)</f>
        <v>2.9060187438461539E-2</v>
      </c>
      <c r="E257">
        <f>0.0968672914615385*(0.3)</f>
        <v>2.9060187438461539E-2</v>
      </c>
      <c r="F257">
        <f>0.0968672914615385*(0.3)</f>
        <v>2.9060187438461539E-2</v>
      </c>
      <c r="G257">
        <f>0.0581203748769231*(0.3)</f>
        <v>1.7436112463076924E-2</v>
      </c>
      <c r="H257">
        <f>0.0968672914615385*(0.3)</f>
        <v>2.9060187438461539E-2</v>
      </c>
      <c r="I257">
        <f>0.0968672914615385*(0.3)</f>
        <v>2.9060187438461539E-2</v>
      </c>
      <c r="J257">
        <f>-0.0193734582923077*(0.3)</f>
        <v>-5.8120374876923066E-3</v>
      </c>
      <c r="K257">
        <f>0.0968672914615385*(0.3)</f>
        <v>2.9060187438461539E-2</v>
      </c>
      <c r="L257">
        <f>0.0474649728161538*(0.3)</f>
        <v>1.4239491844846153E-2</v>
      </c>
      <c r="M257">
        <f>0.106554020607692*(0.3)</f>
        <v>3.1966206182307694E-2</v>
      </c>
      <c r="N257">
        <f>0.0968672914615385*(0.3)</f>
        <v>2.9060187438461539E-2</v>
      </c>
    </row>
    <row r="258" spans="1:14" x14ac:dyDescent="0.25">
      <c r="A258">
        <f>-0.173243278*(0.3)</f>
        <v>-5.1972983399999999E-2</v>
      </c>
      <c r="B258">
        <f>0.013326406*(0.3)</f>
        <v>3.9979218E-3</v>
      </c>
      <c r="C258">
        <f>0.039979218*(0.3)</f>
        <v>1.19937654E-2</v>
      </c>
      <c r="D258">
        <f>0.013326406*(0.3)</f>
        <v>3.9979218E-3</v>
      </c>
      <c r="E258">
        <f>0.013326406*(0.3)</f>
        <v>3.9979218E-3</v>
      </c>
      <c r="F258">
        <f>0.013326406*(0.3)</f>
        <v>3.9979218E-3</v>
      </c>
      <c r="G258">
        <f>0.0079958436*(0.3)</f>
        <v>2.3987530800000001E-3</v>
      </c>
      <c r="H258">
        <f>0.013326406*(0.3)</f>
        <v>3.9979218E-3</v>
      </c>
      <c r="I258">
        <f>0.013326406*(0.3)</f>
        <v>3.9979218E-3</v>
      </c>
      <c r="J258">
        <f>-0.0026652812*(0.3)</f>
        <v>-7.9958435999999986E-4</v>
      </c>
      <c r="K258">
        <f>0.013326406*(0.3)</f>
        <v>3.9979218E-3</v>
      </c>
      <c r="L258">
        <f>0.00652993894*(0.3)</f>
        <v>1.9589816820000001E-3</v>
      </c>
      <c r="M258">
        <f>0.0146590466*(0.3)</f>
        <v>4.3977139800000006E-3</v>
      </c>
      <c r="N258">
        <f>0.013326406*(0.3)</f>
        <v>3.9979218E-3</v>
      </c>
    </row>
    <row r="259" spans="1:14" x14ac:dyDescent="0.25">
      <c r="A259">
        <f>-10.1056459*(0.3)</f>
        <v>-3.03169377</v>
      </c>
      <c r="B259">
        <f>0.777357376923077*(0.3)</f>
        <v>0.23320721307692308</v>
      </c>
      <c r="C259">
        <f>2.33207213076923*(0.3)</f>
        <v>0.69962163923076914</v>
      </c>
      <c r="D259">
        <f>0.777357376923077*(0.3)</f>
        <v>0.23320721307692308</v>
      </c>
      <c r="E259">
        <f>0.777357376923077*(0.3)</f>
        <v>0.23320721307692308</v>
      </c>
      <c r="F259">
        <f>0.777357376923077*(0.3)</f>
        <v>0.23320721307692308</v>
      </c>
      <c r="G259">
        <f>0.466414426153846*(0.3)</f>
        <v>0.13992432784615383</v>
      </c>
      <c r="H259">
        <f>0.777357376923077*(0.3)</f>
        <v>0.23320721307692308</v>
      </c>
      <c r="I259">
        <f>0.777357376923077*(0.3)</f>
        <v>0.23320721307692308</v>
      </c>
      <c r="J259">
        <f>-0.155471475384615*(0.3)</f>
        <v>-4.664144261538461E-2</v>
      </c>
      <c r="K259">
        <f>0.777357376923077*(0.3)</f>
        <v>0.23320721307692308</v>
      </c>
      <c r="L259">
        <f>0.380905114692308*(0.3)</f>
        <v>0.1142715344076923</v>
      </c>
      <c r="M259">
        <f>0.855093114615385*(0.3)</f>
        <v>0.25652793438461541</v>
      </c>
      <c r="N259">
        <f>0.777357376923077*(0.3)</f>
        <v>0.23320721307692308</v>
      </c>
    </row>
    <row r="260" spans="1:14" x14ac:dyDescent="0.25">
      <c r="A260">
        <f>2.170685901*(0.3)</f>
        <v>0.65120577030000004</v>
      </c>
      <c r="B260">
        <f>-0.166975838538462*(0.3)</f>
        <v>-5.0092751561538459E-2</v>
      </c>
      <c r="C260">
        <f>-0.500927515615385*(0.3)</f>
        <v>-0.15027825468461539</v>
      </c>
      <c r="D260">
        <f>-0.166975838538462*(0.3)</f>
        <v>-5.0092751561538459E-2</v>
      </c>
      <c r="E260">
        <f>-0.166975838538462*(0.3)</f>
        <v>-5.0092751561538459E-2</v>
      </c>
      <c r="F260">
        <f>-0.166975838538462*(0.3)</f>
        <v>-5.0092751561538459E-2</v>
      </c>
      <c r="G260">
        <f>-0.100185503123077*(0.3)</f>
        <v>-3.0055650936923074E-2</v>
      </c>
      <c r="H260">
        <f>-0.166975838538462*(0.3)</f>
        <v>-5.0092751561538459E-2</v>
      </c>
      <c r="I260">
        <f>-0.166975838538462*(0.3)</f>
        <v>-5.0092751561538459E-2</v>
      </c>
      <c r="J260">
        <f>0.0333951677076923*(0.3)</f>
        <v>1.0018550312307691E-2</v>
      </c>
      <c r="K260">
        <f>-0.166975838538462*(0.3)</f>
        <v>-5.0092751561538459E-2</v>
      </c>
      <c r="L260">
        <f>-0.0818181608838461*(0.3)</f>
        <v>-2.4545448265153844E-2</v>
      </c>
      <c r="M260">
        <f>-0.183673422392308*(0.3)</f>
        <v>-5.5102026717692314E-2</v>
      </c>
      <c r="N260">
        <f>-0.166975838538462*(0.3)</f>
        <v>-5.0092751561538459E-2</v>
      </c>
    </row>
    <row r="261" spans="1:14" x14ac:dyDescent="0.25">
      <c r="A261">
        <f>-13.40554256*(0.3)</f>
        <v>-4.0216627679999997</v>
      </c>
      <c r="B261">
        <f>1.03119558153846*(0.3)</f>
        <v>0.30935867446153847</v>
      </c>
      <c r="C261">
        <f>3.09358674461539*(0.3)</f>
        <v>0.92807602338461548</v>
      </c>
      <c r="D261">
        <f>1.03119558153846*(0.3)</f>
        <v>0.30935867446153847</v>
      </c>
      <c r="E261">
        <f>1.03119558153846*(0.3)</f>
        <v>0.30935867446153847</v>
      </c>
      <c r="F261">
        <f>1.03119558153846*(0.3)</f>
        <v>0.30935867446153847</v>
      </c>
      <c r="G261">
        <f>0.618717348923077*(0.3)</f>
        <v>0.18561520467692308</v>
      </c>
      <c r="H261">
        <f>1.03119558153846*(0.3)</f>
        <v>0.30935867446153847</v>
      </c>
      <c r="I261">
        <f>1.03119558153846*(0.3)</f>
        <v>0.30935867446153847</v>
      </c>
      <c r="J261">
        <f>-0.206239116307692*(0.3)</f>
        <v>-6.1871734892307684E-2</v>
      </c>
      <c r="K261">
        <f>1.03119558153846*(0.3)</f>
        <v>0.30935867446153847</v>
      </c>
      <c r="L261">
        <f>0.505285834953846*(0.3)</f>
        <v>0.15158575048615389</v>
      </c>
      <c r="M261">
        <f>1.13431513969231*(0.3)</f>
        <v>0.34029454190769237</v>
      </c>
      <c r="N261">
        <f>1.03119558153846*(0.3)</f>
        <v>0.30935867446153847</v>
      </c>
    </row>
    <row r="262" spans="1:14" x14ac:dyDescent="0.25">
      <c r="A262">
        <f>-2.242540844*(0.3)</f>
        <v>-0.67276225320000005</v>
      </c>
      <c r="B262">
        <f>0.172503141846154*(0.3)</f>
        <v>5.1750942553846151E-2</v>
      </c>
      <c r="C262">
        <f>0.517509425538462*(0.3)</f>
        <v>0.15525282766153847</v>
      </c>
      <c r="D262">
        <f>0.172503141846154*(0.3)</f>
        <v>5.1750942553846151E-2</v>
      </c>
      <c r="E262">
        <f>0.172503141846154*(0.3)</f>
        <v>5.1750942553846151E-2</v>
      </c>
      <c r="F262">
        <f>0.172503141846154*(0.3)</f>
        <v>5.1750942553846151E-2</v>
      </c>
      <c r="G262">
        <f>0.103501885107692*(0.3)</f>
        <v>3.105056553230769E-2</v>
      </c>
      <c r="H262">
        <f>0.172503141846154*(0.3)</f>
        <v>5.1750942553846151E-2</v>
      </c>
      <c r="I262">
        <f>0.172503141846154*(0.3)</f>
        <v>5.1750942553846151E-2</v>
      </c>
      <c r="J262">
        <f>-0.0345006283692308*(0.3)</f>
        <v>-1.0350188510769229E-2</v>
      </c>
      <c r="K262">
        <f>0.172503141846154*(0.3)</f>
        <v>5.1750942553846151E-2</v>
      </c>
      <c r="L262">
        <f>0.0845265395046154*(0.3)</f>
        <v>2.535796185138461E-2</v>
      </c>
      <c r="M262">
        <f>0.189753456030769*(0.3)</f>
        <v>5.6926036809230765E-2</v>
      </c>
      <c r="N262">
        <f>0.172503141846154*(0.3)</f>
        <v>5.1750942553846151E-2</v>
      </c>
    </row>
    <row r="263" spans="1:14" x14ac:dyDescent="0.25">
      <c r="A263">
        <f>-12.98221886*(0.3)</f>
        <v>-3.8946656579999996</v>
      </c>
      <c r="B263">
        <f>0.99863222*(0.3)</f>
        <v>0.29958966599999998</v>
      </c>
      <c r="C263">
        <f>2.99589666*(0.3)</f>
        <v>0.89876899799999987</v>
      </c>
      <c r="D263">
        <f>0.99863222*(0.3)</f>
        <v>0.29958966599999998</v>
      </c>
      <c r="E263">
        <f>0.99863222*(0.3)</f>
        <v>0.29958966599999998</v>
      </c>
      <c r="F263">
        <f>0.99863222*(0.3)</f>
        <v>0.29958966599999998</v>
      </c>
      <c r="G263">
        <f>0.599179332*(0.3)</f>
        <v>0.17975379959999999</v>
      </c>
      <c r="H263">
        <f>0.99863222*(0.3)</f>
        <v>0.29958966599999998</v>
      </c>
      <c r="I263">
        <f>0.99863222*(0.3)</f>
        <v>0.29958966599999998</v>
      </c>
      <c r="J263">
        <f>-0.199726444*(0.3)</f>
        <v>-5.9917933199999981E-2</v>
      </c>
      <c r="K263">
        <f>0.99863222*(0.3)</f>
        <v>0.29958966599999998</v>
      </c>
      <c r="L263">
        <f>0.4893297878*(0.3)</f>
        <v>0.14679893633999999</v>
      </c>
      <c r="M263">
        <f>1.098495442*(0.3)</f>
        <v>0.32954863259999995</v>
      </c>
      <c r="N263">
        <f>0.99863222*(0.3)</f>
        <v>0.29958966599999998</v>
      </c>
    </row>
    <row r="264" spans="1:14" x14ac:dyDescent="0.25">
      <c r="A264">
        <f>-2.143420354*(0.3)</f>
        <v>-0.64302610619999989</v>
      </c>
      <c r="B264">
        <f>0.164878488769231*(0.3)</f>
        <v>4.9463546630769226E-2</v>
      </c>
      <c r="C264">
        <f>0.494635466307692*(0.3)</f>
        <v>0.14839063989230769</v>
      </c>
      <c r="D264">
        <f>0.164878488769231*(0.3)</f>
        <v>4.9463546630769226E-2</v>
      </c>
      <c r="E264">
        <f>0.164878488769231*(0.3)</f>
        <v>4.9463546630769226E-2</v>
      </c>
      <c r="F264">
        <f>0.164878488769231*(0.3)</f>
        <v>4.9463546630769226E-2</v>
      </c>
      <c r="G264">
        <f>0.0989270932615385*(0.3)</f>
        <v>2.9678127978461533E-2</v>
      </c>
      <c r="H264">
        <f>0.164878488769231*(0.3)</f>
        <v>4.9463546630769226E-2</v>
      </c>
      <c r="I264">
        <f>0.164878488769231*(0.3)</f>
        <v>4.9463546630769226E-2</v>
      </c>
      <c r="J264">
        <f>-0.0329756977538461*(0.3)</f>
        <v>-9.892709326153843E-3</v>
      </c>
      <c r="K264">
        <f>0.164878488769231*(0.3)</f>
        <v>4.9463546630769226E-2</v>
      </c>
      <c r="L264">
        <f>0.0807904594969231*(0.3)</f>
        <v>2.4237137849076919E-2</v>
      </c>
      <c r="M264">
        <f>0.181366337646154*(0.3)</f>
        <v>5.4409901293846152E-2</v>
      </c>
      <c r="N264">
        <f>0.164878488769231*(0.3)</f>
        <v>4.9463546630769226E-2</v>
      </c>
    </row>
    <row r="265" spans="1:14" x14ac:dyDescent="0.25">
      <c r="A265">
        <f>-20.05802785*(0.3)</f>
        <v>-6.0174083549999997</v>
      </c>
      <c r="B265">
        <f>1.54292521923077*(0.3)</f>
        <v>0.46287756576923073</v>
      </c>
      <c r="C265">
        <f>4.62877565769231*(0.3)</f>
        <v>1.3886326973076923</v>
      </c>
      <c r="D265">
        <f>1.54292521923077*(0.3)</f>
        <v>0.46287756576923073</v>
      </c>
      <c r="E265">
        <f>1.54292521923077*(0.3)</f>
        <v>0.46287756576923073</v>
      </c>
      <c r="F265">
        <f>1.54292521923077*(0.3)</f>
        <v>0.46287756576923073</v>
      </c>
      <c r="G265">
        <f>0.925755131538461*(0.3)</f>
        <v>0.27772653946153841</v>
      </c>
      <c r="H265">
        <f>1.54292521923077*(0.3)</f>
        <v>0.46287756576923073</v>
      </c>
      <c r="I265">
        <f>1.54292521923077*(0.3)</f>
        <v>0.46287756576923073</v>
      </c>
      <c r="J265">
        <f>-0.308585043846154*(0.3)</f>
        <v>-9.2575513153846128E-2</v>
      </c>
      <c r="K265">
        <f>1.54292521923077*(0.3)</f>
        <v>0.46287756576923073</v>
      </c>
      <c r="L265">
        <f>0.756033357423077*(0.3)</f>
        <v>0.22681000722692304</v>
      </c>
      <c r="M265">
        <f>1.69721774115385*(0.3)</f>
        <v>0.50916532234615386</v>
      </c>
      <c r="N265">
        <f>1.54292521923077*(0.3)</f>
        <v>0.46287756576923073</v>
      </c>
    </row>
    <row r="266" spans="1:14" x14ac:dyDescent="0.25">
      <c r="A266">
        <f>0.219741696*(0.3)</f>
        <v>6.5922508799999988E-2</v>
      </c>
      <c r="B266">
        <f>-0.0169032073846154*(0.3)</f>
        <v>-5.0709622153846156E-3</v>
      </c>
      <c r="C266">
        <f>-0.0507096221538462*(0.3)</f>
        <v>-1.5212886646153846E-2</v>
      </c>
      <c r="D266">
        <f>-0.0169032073846154*(0.3)</f>
        <v>-5.0709622153846156E-3</v>
      </c>
      <c r="E266">
        <f>-0.0169032073846154*(0.3)</f>
        <v>-5.0709622153846156E-3</v>
      </c>
      <c r="F266">
        <f>-0.0169032073846154*(0.3)</f>
        <v>-5.0709622153846156E-3</v>
      </c>
      <c r="G266">
        <f>-0.0101419244307692*(0.3)</f>
        <v>-3.0425773292307693E-3</v>
      </c>
      <c r="H266">
        <f>-0.0169032073846154*(0.3)</f>
        <v>-5.0709622153846156E-3</v>
      </c>
      <c r="I266">
        <f>-0.0169032073846154*(0.3)</f>
        <v>-5.0709622153846156E-3</v>
      </c>
      <c r="J266">
        <f>0.00338064147692308*(0.3)</f>
        <v>1.0141924430769229E-3</v>
      </c>
      <c r="K266">
        <f>-0.0169032073846154*(0.3)</f>
        <v>-5.0709622153846156E-3</v>
      </c>
      <c r="L266">
        <f>-0.00828257161846154*(0.3)</f>
        <v>-2.4847714855384612E-3</v>
      </c>
      <c r="M266">
        <f>-0.0185935281230769*(0.3)</f>
        <v>-5.578058436923077E-3</v>
      </c>
      <c r="N266">
        <f>-0.0169032073846154*(0.3)</f>
        <v>-5.0709622153846156E-3</v>
      </c>
    </row>
    <row r="267" spans="1:14" x14ac:dyDescent="0.25">
      <c r="A267">
        <f>-19.95319292*(0.3)</f>
        <v>-5.9859578759999996</v>
      </c>
      <c r="B267">
        <f>1.53486099384615*(0.3)</f>
        <v>0.46045829815384609</v>
      </c>
      <c r="C267">
        <f>4.60458298153846*(0.3)</f>
        <v>1.3813748944615383</v>
      </c>
      <c r="D267">
        <f>1.53486099384615*(0.3)</f>
        <v>0.46045829815384609</v>
      </c>
      <c r="E267">
        <f>1.53486099384615*(0.3)</f>
        <v>0.46045829815384609</v>
      </c>
      <c r="F267">
        <f>1.53486099384615*(0.3)</f>
        <v>0.46045829815384609</v>
      </c>
      <c r="G267">
        <f>0.920916596307692*(0.3)</f>
        <v>0.27627497889230762</v>
      </c>
      <c r="H267">
        <f>1.53486099384615*(0.3)</f>
        <v>0.46045829815384609</v>
      </c>
      <c r="I267">
        <f>1.53486099384615*(0.3)</f>
        <v>0.46045829815384609</v>
      </c>
      <c r="J267">
        <f>-0.306972198769231*(0.3)</f>
        <v>-9.2091659630769193E-2</v>
      </c>
      <c r="K267">
        <f>1.53486099384615*(0.3)</f>
        <v>0.46045829815384609</v>
      </c>
      <c r="L267">
        <f>0.752081886984615*(0.3)</f>
        <v>0.22562456609538459</v>
      </c>
      <c r="M267">
        <f>1.68834709323077*(0.3)</f>
        <v>0.50650412796923072</v>
      </c>
      <c r="N267">
        <f>1.53486099384615*(0.3)</f>
        <v>0.46045829815384609</v>
      </c>
    </row>
    <row r="268" spans="1:14" x14ac:dyDescent="0.25">
      <c r="A268">
        <f>0.890670076*(0.3)</f>
        <v>0.26720102280000002</v>
      </c>
      <c r="B268">
        <f>-0.0685130827692308*(0.3)</f>
        <v>-2.0553924830769229E-2</v>
      </c>
      <c r="C268">
        <f>-0.205539248307692*(0.3)</f>
        <v>-6.1661774492307683E-2</v>
      </c>
      <c r="D268">
        <f>-0.0685130827692308*(0.3)</f>
        <v>-2.0553924830769229E-2</v>
      </c>
      <c r="E268">
        <f>-0.0685130827692308*(0.3)</f>
        <v>-2.0553924830769229E-2</v>
      </c>
      <c r="F268">
        <f>-0.0685130827692308*(0.3)</f>
        <v>-2.0553924830769229E-2</v>
      </c>
      <c r="G268">
        <f>-0.0411078496615385*(0.3)</f>
        <v>-1.2332354898461536E-2</v>
      </c>
      <c r="H268">
        <f>-0.0685130827692308*(0.3)</f>
        <v>-2.0553924830769229E-2</v>
      </c>
      <c r="I268">
        <f>-0.0685130827692308*(0.3)</f>
        <v>-2.0553924830769229E-2</v>
      </c>
      <c r="J268">
        <f>0.0137026165538462*(0.3)</f>
        <v>4.1107849661538446E-3</v>
      </c>
      <c r="K268">
        <f>-0.0685130827692308*(0.3)</f>
        <v>-2.0553924830769229E-2</v>
      </c>
      <c r="L268">
        <f>-0.0335714105569231*(0.3)</f>
        <v>-1.0071423167076921E-2</v>
      </c>
      <c r="M268">
        <f>-0.0753643910461538*(0.3)</f>
        <v>-2.2609317313846154E-2</v>
      </c>
      <c r="N268">
        <f>-0.0685130827692308*(0.3)</f>
        <v>-2.0553924830769229E-2</v>
      </c>
    </row>
    <row r="269" spans="1:14" x14ac:dyDescent="0.25">
      <c r="A269">
        <f>-22.60200969*(0.3)</f>
        <v>-6.7806029069999996</v>
      </c>
      <c r="B269">
        <f>1.73861613*(0.3)</f>
        <v>0.52158483899999997</v>
      </c>
      <c r="C269">
        <f>5.21584839*(0.3)</f>
        <v>1.5647545169999999</v>
      </c>
      <c r="D269">
        <f>1.73861613*(0.3)</f>
        <v>0.52158483899999997</v>
      </c>
      <c r="E269">
        <f>1.73861613*(0.3)</f>
        <v>0.52158483899999997</v>
      </c>
      <c r="F269">
        <f>1.73861613*(0.3)</f>
        <v>0.52158483899999997</v>
      </c>
      <c r="G269">
        <f>1.043169678*(0.3)</f>
        <v>0.31295090339999998</v>
      </c>
      <c r="H269">
        <f>1.73861613*(0.3)</f>
        <v>0.52158483899999997</v>
      </c>
      <c r="I269">
        <f>1.73861613*(0.3)</f>
        <v>0.52158483899999997</v>
      </c>
      <c r="J269">
        <f>-0.347723226*(0.3)</f>
        <v>-0.10431696779999998</v>
      </c>
      <c r="K269">
        <f>1.73861613*(0.3)</f>
        <v>0.52158483899999997</v>
      </c>
      <c r="L269">
        <f>0.8519219037*(0.3)</f>
        <v>0.25557657110999998</v>
      </c>
      <c r="M269">
        <f>1.912477743*(0.3)</f>
        <v>0.57374332290000007</v>
      </c>
      <c r="N269">
        <f>1.73861613*(0.3)</f>
        <v>0.52158483899999997</v>
      </c>
    </row>
    <row r="270" spans="1:14" x14ac:dyDescent="0.25">
      <c r="A270">
        <f>-0.137732991*(0.3)</f>
        <v>-4.1319897299999998E-2</v>
      </c>
      <c r="B270">
        <f>0.0105948454615385*(0.3)</f>
        <v>3.1784536384615388E-3</v>
      </c>
      <c r="C270">
        <f>0.0317845363846154*(0.3)</f>
        <v>9.535360915384615E-3</v>
      </c>
      <c r="D270">
        <f>0.0105948454615385*(0.3)</f>
        <v>3.1784536384615388E-3</v>
      </c>
      <c r="E270">
        <f>0.0105948454615385*(0.3)</f>
        <v>3.1784536384615388E-3</v>
      </c>
      <c r="F270">
        <f>0.0105948454615385*(0.3)</f>
        <v>3.1784536384615388E-3</v>
      </c>
      <c r="G270">
        <f>0.00635690727692308*(0.3)</f>
        <v>1.9070721830769231E-3</v>
      </c>
      <c r="H270">
        <f>0.0105948454615385*(0.3)</f>
        <v>3.1784536384615388E-3</v>
      </c>
      <c r="I270">
        <f>0.0105948454615385*(0.3)</f>
        <v>3.1784536384615388E-3</v>
      </c>
      <c r="J270">
        <f>-0.00211896909230769*(0.3)</f>
        <v>-6.3569072769230751E-4</v>
      </c>
      <c r="K270">
        <f>0.0105948454615385*(0.3)</f>
        <v>3.1784536384615388E-3</v>
      </c>
      <c r="L270">
        <f>0.00519147427615385*(0.3)</f>
        <v>1.5574422828461539E-3</v>
      </c>
      <c r="M270">
        <f>0.0116543300076923*(0.3)</f>
        <v>3.4962990023076927E-3</v>
      </c>
      <c r="N270">
        <f>0.0105948454615385*(0.3)</f>
        <v>3.1784536384615388E-3</v>
      </c>
    </row>
    <row r="271" spans="1:14" x14ac:dyDescent="0.25">
      <c r="A271">
        <f>-25.88349773*(0.3)</f>
        <v>-7.7650493189999992</v>
      </c>
      <c r="B271">
        <f>1.99103828692308*(0.3)</f>
        <v>0.59731148607692297</v>
      </c>
      <c r="C271">
        <f>5.97311486076923*(0.3)</f>
        <v>1.791934458230769</v>
      </c>
      <c r="D271">
        <f>1.99103828692308*(0.3)</f>
        <v>0.59731148607692297</v>
      </c>
      <c r="E271">
        <f>1.99103828692308*(0.3)</f>
        <v>0.59731148607692297</v>
      </c>
      <c r="F271">
        <f>1.99103828692308*(0.3)</f>
        <v>0.59731148607692297</v>
      </c>
      <c r="G271">
        <f>1.19462297215385*(0.3)</f>
        <v>0.35838689164615378</v>
      </c>
      <c r="H271">
        <f>1.99103828692308*(0.3)</f>
        <v>0.59731148607692297</v>
      </c>
      <c r="I271">
        <f>1.99103828692308*(0.3)</f>
        <v>0.59731148607692297</v>
      </c>
      <c r="J271">
        <f>-0.398207657384615*(0.3)</f>
        <v>-0.11946229721538458</v>
      </c>
      <c r="K271">
        <f>1.99103828692308*(0.3)</f>
        <v>0.59731148607692297</v>
      </c>
      <c r="L271">
        <f>0.975608760592308*(0.3)</f>
        <v>0.29268262817769225</v>
      </c>
      <c r="M271">
        <f>2.19014211561538*(0.3)</f>
        <v>0.65704263468461532</v>
      </c>
      <c r="N271">
        <f>1.99103828692308*(0.3)</f>
        <v>0.59731148607692297</v>
      </c>
    </row>
    <row r="272" spans="1:14" x14ac:dyDescent="0.25">
      <c r="A272">
        <f>-0.551979882*(0.3)</f>
        <v>-0.1655939646</v>
      </c>
      <c r="B272">
        <f>0.0424599909230769*(0.3)</f>
        <v>1.2737997276923077E-2</v>
      </c>
      <c r="C272">
        <f>0.127379972769231*(0.3)</f>
        <v>3.8213991830769227E-2</v>
      </c>
      <c r="D272">
        <f>0.0424599909230769*(0.3)</f>
        <v>1.2737997276923077E-2</v>
      </c>
      <c r="E272">
        <f>0.0424599909230769*(0.3)</f>
        <v>1.2737997276923077E-2</v>
      </c>
      <c r="F272">
        <f>0.0424599909230769*(0.3)</f>
        <v>1.2737997276923077E-2</v>
      </c>
      <c r="G272">
        <f>0.0254759945538462*(0.3)</f>
        <v>7.6427983661538461E-3</v>
      </c>
      <c r="H272">
        <f>0.0424599909230769*(0.3)</f>
        <v>1.2737997276923077E-2</v>
      </c>
      <c r="I272">
        <f>0.0424599909230769*(0.3)</f>
        <v>1.2737997276923077E-2</v>
      </c>
      <c r="J272">
        <f>-0.00849199818461538*(0.3)</f>
        <v>-2.5475994553846148E-3</v>
      </c>
      <c r="K272">
        <f>0.0424599909230769*(0.3)</f>
        <v>1.2737997276923077E-2</v>
      </c>
      <c r="L272">
        <f>0.0208053955523077*(0.3)</f>
        <v>6.2416186656923077E-3</v>
      </c>
      <c r="M272">
        <f>0.0467059900153846*(0.3)</f>
        <v>1.4011797004615386E-2</v>
      </c>
      <c r="N272">
        <f>0.0424599909230769*(0.3)</f>
        <v>1.2737997276923077E-2</v>
      </c>
    </row>
    <row r="273" spans="1:14" x14ac:dyDescent="0.25">
      <c r="A273">
        <f>-1.681641229*(0.3)</f>
        <v>-0.50449236870000003</v>
      </c>
      <c r="B273">
        <f>0.129357017615385*(0.3)</f>
        <v>3.8807105284615388E-2</v>
      </c>
      <c r="C273">
        <f>0.388071052846154*(0.3)</f>
        <v>0.11642131585384614</v>
      </c>
      <c r="D273">
        <f>0.129357017615385*(0.3)</f>
        <v>3.8807105284615388E-2</v>
      </c>
      <c r="E273">
        <f>0.129357017615385*(0.3)</f>
        <v>3.8807105284615388E-2</v>
      </c>
      <c r="F273">
        <f>0.129357017615385*(0.3)</f>
        <v>3.8807105284615388E-2</v>
      </c>
      <c r="G273">
        <f>0.0776142105692308*(0.3)</f>
        <v>2.3284263170769232E-2</v>
      </c>
      <c r="H273">
        <f>0.129357017615385*(0.3)</f>
        <v>3.8807105284615388E-2</v>
      </c>
      <c r="I273">
        <f>0.129357017615385*(0.3)</f>
        <v>3.8807105284615388E-2</v>
      </c>
      <c r="J273">
        <f>-0.0258714035230769*(0.3)</f>
        <v>-7.7614210569230757E-3</v>
      </c>
      <c r="K273">
        <f>0.129357017615385*(0.3)</f>
        <v>3.8807105284615388E-2</v>
      </c>
      <c r="L273">
        <f>0.0633849386315385*(0.3)</f>
        <v>1.9015481589461539E-2</v>
      </c>
      <c r="M273">
        <f>0.142292719376923*(0.3)</f>
        <v>4.2687815813076922E-2</v>
      </c>
      <c r="N273">
        <f>0.129357017615385*(0.3)</f>
        <v>3.8807105284615388E-2</v>
      </c>
    </row>
    <row r="274" spans="1:14" x14ac:dyDescent="0.25">
      <c r="A274">
        <f>-1.76556619*(0.3)</f>
        <v>-0.52966985699999991</v>
      </c>
      <c r="B274">
        <f>0.135812783846154*(0.3)</f>
        <v>4.074383515384615E-2</v>
      </c>
      <c r="C274">
        <f>0.407438351538462*(0.3)</f>
        <v>0.12223150546153845</v>
      </c>
      <c r="D274">
        <f>0.135812783846154*(0.3)</f>
        <v>4.074383515384615E-2</v>
      </c>
      <c r="E274">
        <f>0.135812783846154*(0.3)</f>
        <v>4.074383515384615E-2</v>
      </c>
      <c r="F274">
        <f>0.135812783846154*(0.3)</f>
        <v>4.074383515384615E-2</v>
      </c>
      <c r="G274">
        <f>0.0814876703076923*(0.3)</f>
        <v>2.4446301092307689E-2</v>
      </c>
      <c r="H274">
        <f>0.135812783846154*(0.3)</f>
        <v>4.074383515384615E-2</v>
      </c>
      <c r="I274">
        <f>0.135812783846154*(0.3)</f>
        <v>4.074383515384615E-2</v>
      </c>
      <c r="J274">
        <f>-0.0271625567692308*(0.3)</f>
        <v>-8.1487670307692269E-3</v>
      </c>
      <c r="K274">
        <f>0.135812783846154*(0.3)</f>
        <v>4.074383515384615E-2</v>
      </c>
      <c r="L274">
        <f>0.0665482640846154*(0.3)</f>
        <v>1.9964479225384614E-2</v>
      </c>
      <c r="M274">
        <f>0.149394062230769*(0.3)</f>
        <v>4.4818218669230768E-2</v>
      </c>
      <c r="N274">
        <f>0.135812783846154*(0.3)</f>
        <v>4.074383515384615E-2</v>
      </c>
    </row>
    <row r="275" spans="1:14" x14ac:dyDescent="0.25">
      <c r="A275">
        <f>0.311382326*(0.3)</f>
        <v>9.3414697799999988E-2</v>
      </c>
      <c r="B275">
        <f>-0.0239524866153846*(0.3)</f>
        <v>-7.1857459846153835E-3</v>
      </c>
      <c r="C275">
        <f>-0.0718574598461538*(0.3)</f>
        <v>-2.1557237953846151E-2</v>
      </c>
      <c r="D275">
        <f>-0.0239524866153846*(0.3)</f>
        <v>-7.1857459846153835E-3</v>
      </c>
      <c r="E275">
        <f>-0.0239524866153846*(0.3)</f>
        <v>-7.1857459846153835E-3</v>
      </c>
      <c r="F275">
        <f>-0.0239524866153846*(0.3)</f>
        <v>-7.1857459846153835E-3</v>
      </c>
      <c r="G275">
        <f>-0.0143714919692308*(0.3)</f>
        <v>-4.3114475907692299E-3</v>
      </c>
      <c r="H275">
        <f>-0.0239524866153846*(0.3)</f>
        <v>-7.1857459846153835E-3</v>
      </c>
      <c r="I275">
        <f>-0.0239524866153846*(0.3)</f>
        <v>-7.1857459846153835E-3</v>
      </c>
      <c r="J275">
        <f>0.00479049732307692*(0.3)</f>
        <v>1.4371491969230763E-3</v>
      </c>
      <c r="K275">
        <f>-0.0239524866153846*(0.3)</f>
        <v>-7.1857459846153835E-3</v>
      </c>
      <c r="L275">
        <f>-0.0117367184415385*(0.3)</f>
        <v>-3.5210155324615381E-3</v>
      </c>
      <c r="M275">
        <f>-0.0263477352769231*(0.3)</f>
        <v>-7.904320583076923E-3</v>
      </c>
      <c r="N275">
        <f>-0.0239524866153846*(0.3)</f>
        <v>-7.1857459846153835E-3</v>
      </c>
    </row>
    <row r="276" spans="1:14" x14ac:dyDescent="0.25">
      <c r="A276">
        <f>3.105656719*(0.3)</f>
        <v>0.93169701569999996</v>
      </c>
      <c r="B276">
        <f>-0.238896670692308*(0.3)</f>
        <v>-7.1669001207692318E-2</v>
      </c>
      <c r="C276">
        <f>-0.716690012076923*(0.3)</f>
        <v>-0.21500700362307695</v>
      </c>
      <c r="D276">
        <f>-0.238896670692308*(0.3)</f>
        <v>-7.1669001207692318E-2</v>
      </c>
      <c r="E276">
        <f>-0.238896670692308*(0.3)</f>
        <v>-7.1669001207692318E-2</v>
      </c>
      <c r="F276">
        <f>-0.238896670692308*(0.3)</f>
        <v>-7.1669001207692318E-2</v>
      </c>
      <c r="G276">
        <f>-0.143338002415385*(0.3)</f>
        <v>-4.3001400724615391E-2</v>
      </c>
      <c r="H276">
        <f>-0.238896670692308*(0.3)</f>
        <v>-7.1669001207692318E-2</v>
      </c>
      <c r="I276">
        <f>-0.238896670692308*(0.3)</f>
        <v>-7.1669001207692318E-2</v>
      </c>
      <c r="J276">
        <f>0.0477793341384615*(0.3)</f>
        <v>1.433380024153846E-2</v>
      </c>
      <c r="K276">
        <f>-0.238896670692308*(0.3)</f>
        <v>-7.1669001207692318E-2</v>
      </c>
      <c r="L276">
        <f>-0.117059368639231*(0.3)</f>
        <v>-3.511781059176923E-2</v>
      </c>
      <c r="M276">
        <f>-0.262786337761539*(0.3)</f>
        <v>-7.8835901328461563E-2</v>
      </c>
      <c r="N276">
        <f>-0.238896670692308*(0.3)</f>
        <v>-7.1669001207692318E-2</v>
      </c>
    </row>
    <row r="277" spans="1:14" x14ac:dyDescent="0.25">
      <c r="A277">
        <f>-2.036325306*(0.3)</f>
        <v>-0.61089759180000003</v>
      </c>
      <c r="B277">
        <f>0.156640408153846*(0.3)</f>
        <v>4.6992122446153847E-2</v>
      </c>
      <c r="C277">
        <f>0.469921224461539*(0.3)</f>
        <v>0.14097636733846156</v>
      </c>
      <c r="D277">
        <f>0.156640408153846*(0.3)</f>
        <v>4.6992122446153847E-2</v>
      </c>
      <c r="E277">
        <f>0.156640408153846*(0.3)</f>
        <v>4.6992122446153847E-2</v>
      </c>
      <c r="F277">
        <f>0.156640408153846*(0.3)</f>
        <v>4.6992122446153847E-2</v>
      </c>
      <c r="G277">
        <f>0.0939842448923077*(0.3)</f>
        <v>2.8195273467692308E-2</v>
      </c>
      <c r="H277">
        <f>0.156640408153846*(0.3)</f>
        <v>4.6992122446153847E-2</v>
      </c>
      <c r="I277">
        <f>0.156640408153846*(0.3)</f>
        <v>4.6992122446153847E-2</v>
      </c>
      <c r="J277">
        <f>-0.0313280816307692*(0.3)</f>
        <v>-9.3984244892307677E-3</v>
      </c>
      <c r="K277">
        <f>0.156640408153846*(0.3)</f>
        <v>4.6992122446153847E-2</v>
      </c>
      <c r="L277">
        <f>0.0767537999953846*(0.3)</f>
        <v>2.3026139998615386E-2</v>
      </c>
      <c r="M277">
        <f>0.172304448969231*(0.3)</f>
        <v>5.1691334690769239E-2</v>
      </c>
      <c r="N277">
        <f>0.156640408153846*(0.3)</f>
        <v>4.6992122446153847E-2</v>
      </c>
    </row>
    <row r="278" spans="1:14" x14ac:dyDescent="0.25">
      <c r="A278">
        <f>0.042645808*(0.3)</f>
        <v>1.27937424E-2</v>
      </c>
      <c r="B278">
        <f>-0.00328044676923077*(0.3)</f>
        <v>-9.841340307692307E-4</v>
      </c>
      <c r="C278">
        <f>-0.00984134030769231*(0.3)</f>
        <v>-2.9524020923076921E-3</v>
      </c>
      <c r="D278">
        <f>-0.00328044676923077*(0.3)</f>
        <v>-9.841340307692307E-4</v>
      </c>
      <c r="E278">
        <f>-0.00328044676923077*(0.3)</f>
        <v>-9.841340307692307E-4</v>
      </c>
      <c r="F278">
        <f>-0.00328044676923077*(0.3)</f>
        <v>-9.841340307692307E-4</v>
      </c>
      <c r="G278">
        <f>-0.00196826806153846*(0.3)</f>
        <v>-5.9048041846153842E-4</v>
      </c>
      <c r="H278">
        <f>-0.00328044676923077*(0.3)</f>
        <v>-9.841340307692307E-4</v>
      </c>
      <c r="I278">
        <f>-0.00328044676923077*(0.3)</f>
        <v>-9.841340307692307E-4</v>
      </c>
      <c r="J278">
        <f>0.000656089353846154*(0.3)</f>
        <v>1.9682680615384609E-4</v>
      </c>
      <c r="K278">
        <f>-0.00328044676923077*(0.3)</f>
        <v>-9.841340307692307E-4</v>
      </c>
      <c r="L278">
        <f>-0.00160741891692308*(0.3)</f>
        <v>-4.8222567507692304E-4</v>
      </c>
      <c r="M278">
        <f>-0.00360849144615385*(0.3)</f>
        <v>-1.0825474338461538E-3</v>
      </c>
      <c r="N278">
        <f>-0.00328044676923077*(0.3)</f>
        <v>-9.841340307692307E-4</v>
      </c>
    </row>
    <row r="279" spans="1:14" x14ac:dyDescent="0.25">
      <c r="A279">
        <f>-1.135418788*(0.3)</f>
        <v>-0.34062563639999999</v>
      </c>
      <c r="B279">
        <f>0.0873399067692308*(0.3)</f>
        <v>2.6201972030769231E-2</v>
      </c>
      <c r="C279">
        <f>0.262019720307692*(0.3)</f>
        <v>7.8605916092307701E-2</v>
      </c>
      <c r="D279">
        <f>0.0873399067692308*(0.3)</f>
        <v>2.6201972030769231E-2</v>
      </c>
      <c r="E279">
        <f>0.0873399067692308*(0.3)</f>
        <v>2.6201972030769231E-2</v>
      </c>
      <c r="F279">
        <f>0.0873399067692308*(0.3)</f>
        <v>2.6201972030769231E-2</v>
      </c>
      <c r="G279">
        <f>0.0524039440615385*(0.3)</f>
        <v>1.5721183218461537E-2</v>
      </c>
      <c r="H279">
        <f>0.0873399067692308*(0.3)</f>
        <v>2.6201972030769231E-2</v>
      </c>
      <c r="I279">
        <f>0.0873399067692308*(0.3)</f>
        <v>2.6201972030769231E-2</v>
      </c>
      <c r="J279">
        <f>-0.0174679813538462*(0.3)</f>
        <v>-5.2403944061538447E-3</v>
      </c>
      <c r="K279">
        <f>0.0873399067692308*(0.3)</f>
        <v>2.6201972030769231E-2</v>
      </c>
      <c r="L279">
        <f>0.0427965543169231*(0.3)</f>
        <v>1.2838966295076923E-2</v>
      </c>
      <c r="M279">
        <f>0.0960738974461539*(0.3)</f>
        <v>2.8822169233846156E-2</v>
      </c>
      <c r="N279">
        <f>0.0873399067692308*(0.3)</f>
        <v>2.6201972030769231E-2</v>
      </c>
    </row>
    <row r="280" spans="1:14" x14ac:dyDescent="0.25">
      <c r="A280">
        <f>-0.968146437*(0.3)</f>
        <v>-0.2904439311</v>
      </c>
      <c r="B280">
        <f>0.0744728028461538*(0.3)</f>
        <v>2.2341840853846152E-2</v>
      </c>
      <c r="C280">
        <f>0.223418408538462*(0.3)</f>
        <v>6.7025522561538459E-2</v>
      </c>
      <c r="D280">
        <f>0.0744728028461538*(0.3)</f>
        <v>2.2341840853846152E-2</v>
      </c>
      <c r="E280">
        <f>0.0744728028461538*(0.3)</f>
        <v>2.2341840853846152E-2</v>
      </c>
      <c r="F280">
        <f>0.0744728028461538*(0.3)</f>
        <v>2.2341840853846152E-2</v>
      </c>
      <c r="G280">
        <f>0.0446836817076923*(0.3)</f>
        <v>1.340510451230769E-2</v>
      </c>
      <c r="H280">
        <f>0.0744728028461538*(0.3)</f>
        <v>2.2341840853846152E-2</v>
      </c>
      <c r="I280">
        <f>0.0744728028461538*(0.3)</f>
        <v>2.2341840853846152E-2</v>
      </c>
      <c r="J280">
        <f>-0.0148945605692308*(0.3)</f>
        <v>-4.4683681707692298E-3</v>
      </c>
      <c r="K280">
        <f>0.0744728028461538*(0.3)</f>
        <v>2.2341840853846152E-2</v>
      </c>
      <c r="L280">
        <f>0.0364916733946154*(0.3)</f>
        <v>1.0947502018384615E-2</v>
      </c>
      <c r="M280">
        <f>0.0819200831307692*(0.3)</f>
        <v>2.4576024939230768E-2</v>
      </c>
      <c r="N280">
        <f>0.0744728028461538*(0.3)</f>
        <v>2.2341840853846152E-2</v>
      </c>
    </row>
    <row r="281" spans="1:14" x14ac:dyDescent="0.25">
      <c r="A281">
        <f>0.128252803*(0.3)</f>
        <v>3.8475840899999995E-2</v>
      </c>
      <c r="B281">
        <f>-0.00986560023076923*(0.3)</f>
        <v>-2.9596800692307692E-3</v>
      </c>
      <c r="C281">
        <f>-0.0295968006923077*(0.3)</f>
        <v>-8.8790402076923073E-3</v>
      </c>
      <c r="D281">
        <f>-0.00986560023076923*(0.3)</f>
        <v>-2.9596800692307692E-3</v>
      </c>
      <c r="E281">
        <f>-0.00986560023076923*(0.3)</f>
        <v>-2.9596800692307692E-3</v>
      </c>
      <c r="F281">
        <f>-0.00986560023076923*(0.3)</f>
        <v>-2.9596800692307692E-3</v>
      </c>
      <c r="G281">
        <f>-0.00591936013846154*(0.3)</f>
        <v>-1.7758080415384615E-3</v>
      </c>
      <c r="H281">
        <f>-0.00986560023076923*(0.3)</f>
        <v>-2.9596800692307692E-3</v>
      </c>
      <c r="I281">
        <f>-0.00986560023076923*(0.3)</f>
        <v>-2.9596800692307692E-3</v>
      </c>
      <c r="J281">
        <f>0.00197312004615385*(0.3)</f>
        <v>5.9193601384615365E-4</v>
      </c>
      <c r="K281">
        <f>-0.00986560023076923*(0.3)</f>
        <v>-2.9596800692307692E-3</v>
      </c>
      <c r="L281">
        <f>-0.00483414411307692*(0.3)</f>
        <v>-1.4502432339230768E-3</v>
      </c>
      <c r="M281">
        <f>-0.0108521602538462*(0.3)</f>
        <v>-3.2556480761538461E-3</v>
      </c>
      <c r="N281">
        <f>-0.00986560023076923*(0.3)</f>
        <v>-2.9596800692307692E-3</v>
      </c>
    </row>
    <row r="282" spans="1:14" x14ac:dyDescent="0.25">
      <c r="A282">
        <f>-2.342996303*(0.3)</f>
        <v>-0.70289889090000002</v>
      </c>
      <c r="B282">
        <f>0.180230484846154*(0.3)</f>
        <v>5.4069145453846147E-2</v>
      </c>
      <c r="C282">
        <f>0.540691454538462*(0.3)</f>
        <v>0.16220743636153848</v>
      </c>
      <c r="D282">
        <f>0.180230484846154*(0.3)</f>
        <v>5.4069145453846147E-2</v>
      </c>
      <c r="E282">
        <f>0.180230484846154*(0.3)</f>
        <v>5.4069145453846147E-2</v>
      </c>
      <c r="F282">
        <f>0.180230484846154*(0.3)</f>
        <v>5.4069145453846147E-2</v>
      </c>
      <c r="G282">
        <f>0.108138290907692*(0.3)</f>
        <v>3.2441487272307688E-2</v>
      </c>
      <c r="H282">
        <f>0.180230484846154*(0.3)</f>
        <v>5.4069145453846147E-2</v>
      </c>
      <c r="I282">
        <f>0.180230484846154*(0.3)</f>
        <v>5.4069145453846147E-2</v>
      </c>
      <c r="J282">
        <f>-0.0360460969692308*(0.3)</f>
        <v>-1.0813829090769228E-2</v>
      </c>
      <c r="K282">
        <f>0.180230484846154*(0.3)</f>
        <v>5.4069145453846147E-2</v>
      </c>
      <c r="L282">
        <f>0.0883129375746154*(0.3)</f>
        <v>2.6493881272384612E-2</v>
      </c>
      <c r="M282">
        <f>0.198253533330769*(0.3)</f>
        <v>5.9476059999230765E-2</v>
      </c>
      <c r="N282">
        <f>0.180230484846154*(0.3)</f>
        <v>5.4069145453846147E-2</v>
      </c>
    </row>
    <row r="283" spans="1:14" x14ac:dyDescent="0.25">
      <c r="A283">
        <f>1.887867967*(0.3)</f>
        <v>0.56636039009999994</v>
      </c>
      <c r="B283">
        <f>-0.145220612846154*(0.3)</f>
        <v>-4.3566183853846148E-2</v>
      </c>
      <c r="C283">
        <f>-0.435661838538462*(0.3)</f>
        <v>-0.13069855156153845</v>
      </c>
      <c r="D283">
        <f>-0.145220612846154*(0.3)</f>
        <v>-4.3566183853846148E-2</v>
      </c>
      <c r="E283">
        <f>-0.145220612846154*(0.3)</f>
        <v>-4.3566183853846148E-2</v>
      </c>
      <c r="F283">
        <f>-0.145220612846154*(0.3)</f>
        <v>-4.3566183853846148E-2</v>
      </c>
      <c r="G283">
        <f>-0.0871323677076923*(0.3)</f>
        <v>-2.6139710312307687E-2</v>
      </c>
      <c r="H283">
        <f>-0.145220612846154*(0.3)</f>
        <v>-4.3566183853846148E-2</v>
      </c>
      <c r="I283">
        <f>-0.145220612846154*(0.3)</f>
        <v>-4.3566183853846148E-2</v>
      </c>
      <c r="J283">
        <f>0.0290441225692308*(0.3)</f>
        <v>8.7132367707692289E-3</v>
      </c>
      <c r="K283">
        <f>-0.145220612846154*(0.3)</f>
        <v>-4.3566183853846148E-2</v>
      </c>
      <c r="L283">
        <f>-0.0711581002946154*(0.3)</f>
        <v>-2.1347430088384613E-2</v>
      </c>
      <c r="M283">
        <f>-0.159742674130769*(0.3)</f>
        <v>-4.7922802239230768E-2</v>
      </c>
      <c r="N283">
        <f>-0.145220612846154*(0.3)</f>
        <v>-4.3566183853846148E-2</v>
      </c>
    </row>
    <row r="284" spans="1:14" x14ac:dyDescent="0.25">
      <c r="A284">
        <f>1.910506652*(0.3)</f>
        <v>0.57315199559999996</v>
      </c>
      <c r="B284">
        <f>-0.146962050153846*(0.3)</f>
        <v>-4.4088615046153849E-2</v>
      </c>
      <c r="C284">
        <f>-0.440886150461539*(0.3)</f>
        <v>-0.13226584513846154</v>
      </c>
      <c r="D284">
        <f>-0.146962050153846*(0.3)</f>
        <v>-4.4088615046153849E-2</v>
      </c>
      <c r="E284">
        <f>-0.146962050153846*(0.3)</f>
        <v>-4.4088615046153849E-2</v>
      </c>
      <c r="F284">
        <f>-0.146962050153846*(0.3)</f>
        <v>-4.4088615046153849E-2</v>
      </c>
      <c r="G284">
        <f>-0.0881772300923077*(0.3)</f>
        <v>-2.6453169027692309E-2</v>
      </c>
      <c r="H284">
        <f>-0.146962050153846*(0.3)</f>
        <v>-4.4088615046153849E-2</v>
      </c>
      <c r="I284">
        <f>-0.146962050153846*(0.3)</f>
        <v>-4.4088615046153849E-2</v>
      </c>
      <c r="J284">
        <f>0.0293924100307692*(0.3)</f>
        <v>8.8177230092307685E-3</v>
      </c>
      <c r="K284">
        <f>-0.146962050153846*(0.3)</f>
        <v>-4.4088615046153849E-2</v>
      </c>
      <c r="L284">
        <f>-0.0720114045753846*(0.3)</f>
        <v>-2.1603421372615384E-2</v>
      </c>
      <c r="M284">
        <f>-0.161658255169231*(0.3)</f>
        <v>-4.849747655076924E-2</v>
      </c>
      <c r="N284">
        <f>-0.146962050153846*(0.3)</f>
        <v>-4.4088615046153849E-2</v>
      </c>
    </row>
    <row r="285" spans="1:14" x14ac:dyDescent="0.25">
      <c r="A285">
        <f>0.538909842*(0.3)</f>
        <v>0.1616729526</v>
      </c>
      <c r="B285">
        <f>-0.0414546032307692*(0.3)</f>
        <v>-1.2436380969230769E-2</v>
      </c>
      <c r="C285">
        <f>-0.124363809692308*(0.3)</f>
        <v>-3.7309142907692307E-2</v>
      </c>
      <c r="D285">
        <f>-0.0414546032307692*(0.3)</f>
        <v>-1.2436380969230769E-2</v>
      </c>
      <c r="E285">
        <f>-0.0414546032307692*(0.3)</f>
        <v>-1.2436380969230769E-2</v>
      </c>
      <c r="F285">
        <f>-0.0414546032307692*(0.3)</f>
        <v>-1.2436380969230769E-2</v>
      </c>
      <c r="G285">
        <f>-0.0248727619384615*(0.3)</f>
        <v>-7.4618285815384608E-3</v>
      </c>
      <c r="H285">
        <f>-0.0414546032307692*(0.3)</f>
        <v>-1.2436380969230769E-2</v>
      </c>
      <c r="I285">
        <f>-0.0414546032307692*(0.3)</f>
        <v>-1.2436380969230769E-2</v>
      </c>
      <c r="J285">
        <f>0.00829092064615384*(0.3)</f>
        <v>2.4872761938461532E-3</v>
      </c>
      <c r="K285">
        <f>-0.0414546032307692*(0.3)</f>
        <v>-1.2436380969230769E-2</v>
      </c>
      <c r="L285">
        <f>-0.0203127555830769*(0.3)</f>
        <v>-6.0938266749230767E-3</v>
      </c>
      <c r="M285">
        <f>-0.0456000635538462*(0.3)</f>
        <v>-1.3680019066153848E-2</v>
      </c>
      <c r="N285">
        <f>-0.0414546032307692*(0.3)</f>
        <v>-1.2436380969230769E-2</v>
      </c>
    </row>
    <row r="286" spans="1:14" x14ac:dyDescent="0.25">
      <c r="A286">
        <f>-1.668176331*(0.3)</f>
        <v>-0.50045289929999992</v>
      </c>
      <c r="B286">
        <f>0.128321256230769*(0.3)</f>
        <v>3.849637686923077E-2</v>
      </c>
      <c r="C286">
        <f>0.384963768692308*(0.3)</f>
        <v>0.11548913060769231</v>
      </c>
      <c r="D286">
        <f>0.128321256230769*(0.3)</f>
        <v>3.849637686923077E-2</v>
      </c>
      <c r="E286">
        <f>0.128321256230769*(0.3)</f>
        <v>3.849637686923077E-2</v>
      </c>
      <c r="F286">
        <f>0.128321256230769*(0.3)</f>
        <v>3.849637686923077E-2</v>
      </c>
      <c r="G286">
        <f>0.0769927537384615*(0.3)</f>
        <v>2.3097826121538462E-2</v>
      </c>
      <c r="H286">
        <f>0.128321256230769*(0.3)</f>
        <v>3.849637686923077E-2</v>
      </c>
      <c r="I286">
        <f>0.128321256230769*(0.3)</f>
        <v>3.849637686923077E-2</v>
      </c>
      <c r="J286">
        <f>-0.0256642512461538*(0.3)</f>
        <v>-7.6992753738461513E-3</v>
      </c>
      <c r="K286">
        <f>0.128321256230769*(0.3)</f>
        <v>3.849637686923077E-2</v>
      </c>
      <c r="L286">
        <f>0.0628774155530769*(0.3)</f>
        <v>1.8863224665923075E-2</v>
      </c>
      <c r="M286">
        <f>0.141153381853846*(0.3)</f>
        <v>4.2346014556153846E-2</v>
      </c>
      <c r="N286">
        <f>0.128321256230769*(0.3)</f>
        <v>3.849637686923077E-2</v>
      </c>
    </row>
    <row r="287" spans="1:14" x14ac:dyDescent="0.25">
      <c r="A287">
        <f>-1.194023756*(0.3)</f>
        <v>-0.3582071268</v>
      </c>
      <c r="B287">
        <f>0.0918479812307692*(0.3)</f>
        <v>2.755439436923077E-2</v>
      </c>
      <c r="C287">
        <f>0.275543943692308*(0.3)</f>
        <v>8.2663183107692315E-2</v>
      </c>
      <c r="D287">
        <f>0.0918479812307692*(0.3)</f>
        <v>2.755439436923077E-2</v>
      </c>
      <c r="E287">
        <f>0.0918479812307692*(0.3)</f>
        <v>2.755439436923077E-2</v>
      </c>
      <c r="F287">
        <f>0.0918479812307692*(0.3)</f>
        <v>2.755439436923077E-2</v>
      </c>
      <c r="G287">
        <f>0.0551087887384615*(0.3)</f>
        <v>1.6532636621538463E-2</v>
      </c>
      <c r="H287">
        <f>0.0918479812307692*(0.3)</f>
        <v>2.755439436923077E-2</v>
      </c>
      <c r="I287">
        <f>0.0918479812307692*(0.3)</f>
        <v>2.755439436923077E-2</v>
      </c>
      <c r="J287">
        <f>-0.0183695962461538*(0.3)</f>
        <v>-5.5108788738461529E-3</v>
      </c>
      <c r="K287">
        <f>0.0918479812307692*(0.3)</f>
        <v>2.755439436923077E-2</v>
      </c>
      <c r="L287">
        <f>0.0450055108030769*(0.3)</f>
        <v>1.3501653240923077E-2</v>
      </c>
      <c r="M287">
        <f>0.101032779353846*(0.3)</f>
        <v>3.0309833806153846E-2</v>
      </c>
      <c r="N287">
        <f>0.0918479812307692*(0.3)</f>
        <v>2.755439436923077E-2</v>
      </c>
    </row>
    <row r="288" spans="1:14" x14ac:dyDescent="0.25">
      <c r="A288">
        <f>-0.465196234*(0.3)</f>
        <v>-0.13955887019999999</v>
      </c>
      <c r="B288">
        <f>0.0357843256923077*(0.3)</f>
        <v>1.0735297707692307E-2</v>
      </c>
      <c r="C288">
        <f>0.107352977076923*(0.3)</f>
        <v>3.2205893123076916E-2</v>
      </c>
      <c r="D288">
        <f>0.0357843256923077*(0.3)</f>
        <v>1.0735297707692307E-2</v>
      </c>
      <c r="E288">
        <f>0.0357843256923077*(0.3)</f>
        <v>1.0735297707692307E-2</v>
      </c>
      <c r="F288">
        <f>0.0357843256923077*(0.3)</f>
        <v>1.0735297707692307E-2</v>
      </c>
      <c r="G288">
        <f>0.0214705954153846*(0.3)</f>
        <v>6.4411786246153842E-3</v>
      </c>
      <c r="H288">
        <f>0.0357843256923077*(0.3)</f>
        <v>1.0735297707692307E-2</v>
      </c>
      <c r="I288">
        <f>0.0357843256923077*(0.3)</f>
        <v>1.0735297707692307E-2</v>
      </c>
      <c r="J288">
        <f>-0.00715686513846154*(0.3)</f>
        <v>-2.147059541538461E-3</v>
      </c>
      <c r="K288">
        <f>0.0357843256923077*(0.3)</f>
        <v>1.0735297707692307E-2</v>
      </c>
      <c r="L288">
        <f>0.0175343195892308*(0.3)</f>
        <v>5.26029587676923E-3</v>
      </c>
      <c r="M288">
        <f>0.0393627582615385*(0.3)</f>
        <v>1.1808827478461539E-2</v>
      </c>
      <c r="N288">
        <f>0.0357843256923077*(0.3)</f>
        <v>1.0735297707692307E-2</v>
      </c>
    </row>
    <row r="289" spans="1:14" x14ac:dyDescent="0.25">
      <c r="A289">
        <f>-18.6311525*(0.3)</f>
        <v>-5.5893457499999997</v>
      </c>
      <c r="B289">
        <f>1.43316557692308*(0.3)</f>
        <v>0.42994967307692306</v>
      </c>
      <c r="C289">
        <f>4.29949673076923*(0.3)</f>
        <v>1.289849019230769</v>
      </c>
      <c r="D289">
        <f>1.43316557692308*(0.3)</f>
        <v>0.42994967307692306</v>
      </c>
      <c r="E289">
        <f>1.43316557692308*(0.3)</f>
        <v>0.42994967307692306</v>
      </c>
      <c r="F289">
        <f>1.43316557692308*(0.3)</f>
        <v>0.42994967307692306</v>
      </c>
      <c r="G289">
        <f>0.859899346153846*(0.3)</f>
        <v>0.25796980384615381</v>
      </c>
      <c r="H289">
        <f>1.43316557692308*(0.3)</f>
        <v>0.42994967307692306</v>
      </c>
      <c r="I289">
        <f>1.43316557692308*(0.3)</f>
        <v>0.42994967307692306</v>
      </c>
      <c r="J289">
        <f>-0.286633115384615*(0.3)</f>
        <v>-8.5989934615384594E-2</v>
      </c>
      <c r="K289">
        <f>1.43316557692308*(0.3)</f>
        <v>0.42994967307692306</v>
      </c>
      <c r="L289">
        <f>0.702251132692308*(0.3)</f>
        <v>0.21067533980769229</v>
      </c>
      <c r="M289">
        <f>1.57648213461538*(0.3)</f>
        <v>0.47294464038461542</v>
      </c>
      <c r="N289">
        <f>1.43316557692308*(0.3)</f>
        <v>0.42994967307692306</v>
      </c>
    </row>
    <row r="290" spans="1:14" x14ac:dyDescent="0.25">
      <c r="A290">
        <f>-0.612483749*(0.3)</f>
        <v>-0.18374512470000001</v>
      </c>
      <c r="B290">
        <f>0.0471141345384615*(0.3)</f>
        <v>1.4134240361538462E-2</v>
      </c>
      <c r="C290">
        <f>0.141342403615385*(0.3)</f>
        <v>4.2402721084615388E-2</v>
      </c>
      <c r="D290">
        <f>0.0471141345384615*(0.3)</f>
        <v>1.4134240361538462E-2</v>
      </c>
      <c r="E290">
        <f>0.0471141345384615*(0.3)</f>
        <v>1.4134240361538462E-2</v>
      </c>
      <c r="F290">
        <f>0.0471141345384615*(0.3)</f>
        <v>1.4134240361538462E-2</v>
      </c>
      <c r="G290">
        <f>0.0282684807230769*(0.3)</f>
        <v>8.4805442169230763E-3</v>
      </c>
      <c r="H290">
        <f>0.0471141345384615*(0.3)</f>
        <v>1.4134240361538462E-2</v>
      </c>
      <c r="I290">
        <f>0.0471141345384615*(0.3)</f>
        <v>1.4134240361538462E-2</v>
      </c>
      <c r="J290">
        <f>-0.00942282690769231*(0.3)</f>
        <v>-2.8268480723076914E-3</v>
      </c>
      <c r="K290">
        <f>0.0471141345384615*(0.3)</f>
        <v>1.4134240361538462E-2</v>
      </c>
      <c r="L290">
        <f>0.0230859259238462*(0.3)</f>
        <v>6.9257777771538466E-3</v>
      </c>
      <c r="M290">
        <f>0.0518255479923077*(0.3)</f>
        <v>1.5547664397692309E-2</v>
      </c>
      <c r="N290">
        <f>0.0471141345384615*(0.3)</f>
        <v>1.4134240361538462E-2</v>
      </c>
    </row>
    <row r="291" spans="1:14" x14ac:dyDescent="0.25">
      <c r="A291">
        <f>-24.39850678*(0.3)</f>
        <v>-7.319552034</v>
      </c>
      <c r="B291">
        <f>1.87680821384615*(0.3)</f>
        <v>0.56304246415384618</v>
      </c>
      <c r="C291">
        <f>5.63042464153846*(0.3)</f>
        <v>1.6891273924615386</v>
      </c>
      <c r="D291">
        <f>1.87680821384615*(0.3)</f>
        <v>0.56304246415384618</v>
      </c>
      <c r="E291">
        <f>1.87680821384615*(0.3)</f>
        <v>0.56304246415384618</v>
      </c>
      <c r="F291">
        <f>1.87680821384615*(0.3)</f>
        <v>0.56304246415384618</v>
      </c>
      <c r="G291">
        <f>1.12608492830769*(0.3)</f>
        <v>0.33782547849230771</v>
      </c>
      <c r="H291">
        <f>1.87680821384615*(0.3)</f>
        <v>0.56304246415384618</v>
      </c>
      <c r="I291">
        <f>1.87680821384615*(0.3)</f>
        <v>0.56304246415384618</v>
      </c>
      <c r="J291">
        <f>-0.375361642769231*(0.3)</f>
        <v>-0.11260849283076919</v>
      </c>
      <c r="K291">
        <f>1.87680821384615*(0.3)</f>
        <v>0.56304246415384618</v>
      </c>
      <c r="L291">
        <f>0.919636024784615*(0.3)</f>
        <v>0.27589080743538458</v>
      </c>
      <c r="M291">
        <f>2.06448903523077*(0.3)</f>
        <v>0.61934671056923085</v>
      </c>
      <c r="N291">
        <f>1.87680821384615*(0.3)</f>
        <v>0.56304246415384618</v>
      </c>
    </row>
    <row r="292" spans="1:14" x14ac:dyDescent="0.25">
      <c r="A292">
        <f>-1.087869302*(0.3)</f>
        <v>-0.32636079060000001</v>
      </c>
      <c r="B292">
        <f>0.083682254*(0.3)</f>
        <v>2.5104676200000002E-2</v>
      </c>
      <c r="C292">
        <f>0.251046762*(0.3)</f>
        <v>7.5314028600000013E-2</v>
      </c>
      <c r="D292">
        <f>0.083682254*(0.3)</f>
        <v>2.5104676200000002E-2</v>
      </c>
      <c r="E292">
        <f>0.083682254*(0.3)</f>
        <v>2.5104676200000002E-2</v>
      </c>
      <c r="F292">
        <f>0.083682254*(0.3)</f>
        <v>2.5104676200000002E-2</v>
      </c>
      <c r="G292">
        <f>0.0502093524*(0.3)</f>
        <v>1.5062805720000001E-2</v>
      </c>
      <c r="H292">
        <f>0.083682254*(0.3)</f>
        <v>2.5104676200000002E-2</v>
      </c>
      <c r="I292">
        <f>0.083682254*(0.3)</f>
        <v>2.5104676200000002E-2</v>
      </c>
      <c r="J292">
        <f>-0.0167364508*(0.3)</f>
        <v>-5.0209352399999997E-3</v>
      </c>
      <c r="K292">
        <f>0.083682254*(0.3)</f>
        <v>2.5104676200000002E-2</v>
      </c>
      <c r="L292">
        <f>0.04100430446*(0.3)</f>
        <v>1.2301291338E-2</v>
      </c>
      <c r="M292">
        <f>0.0920504794*(0.3)</f>
        <v>2.7615143820000007E-2</v>
      </c>
      <c r="N292">
        <f>0.083682254*(0.3)</f>
        <v>2.5104676200000002E-2</v>
      </c>
    </row>
    <row r="293" spans="1:14" x14ac:dyDescent="0.25">
      <c r="A293">
        <f>-34.99302737*(0.3)</f>
        <v>-10.497908211</v>
      </c>
      <c r="B293">
        <f>2.69177133615385*(0.3)</f>
        <v>0.80753140084615382</v>
      </c>
      <c r="C293">
        <f>8.07531400846154*(0.3)</f>
        <v>2.4225942025384617</v>
      </c>
      <c r="D293">
        <f>2.69177133615385*(0.3)</f>
        <v>0.80753140084615382</v>
      </c>
      <c r="E293">
        <f>2.69177133615385*(0.3)</f>
        <v>0.80753140084615382</v>
      </c>
      <c r="F293">
        <f>2.69177133615385*(0.3)</f>
        <v>0.80753140084615382</v>
      </c>
      <c r="G293">
        <f>1.61506280169231*(0.3)</f>
        <v>0.48451884050769228</v>
      </c>
      <c r="H293">
        <f>2.69177133615385*(0.3)</f>
        <v>0.80753140084615382</v>
      </c>
      <c r="I293">
        <f>2.69177133615385*(0.3)</f>
        <v>0.80753140084615382</v>
      </c>
      <c r="J293">
        <f>-0.538354267230769*(0.3)</f>
        <v>-0.16150628016923074</v>
      </c>
      <c r="K293">
        <f>2.69177133615385*(0.3)</f>
        <v>0.80753140084615382</v>
      </c>
      <c r="L293">
        <f>1.31896795471538*(0.3)</f>
        <v>0.39569038641461535</v>
      </c>
      <c r="M293">
        <f>2.96094846976923*(0.3)</f>
        <v>0.88828454093076936</v>
      </c>
      <c r="N293">
        <f>2.69177133615385*(0.3)</f>
        <v>0.80753140084615382</v>
      </c>
    </row>
    <row r="294" spans="1:14" x14ac:dyDescent="0.25">
      <c r="A294">
        <f>-1.199628881*(0.3)</f>
        <v>-0.35988866429999999</v>
      </c>
      <c r="B294">
        <f>0.0922791446923077*(0.3)</f>
        <v>2.7683743407692307E-2</v>
      </c>
      <c r="C294">
        <f>0.276837434076923*(0.3)</f>
        <v>8.3051230223076922E-2</v>
      </c>
      <c r="D294">
        <f>0.0922791446923077*(0.3)</f>
        <v>2.7683743407692307E-2</v>
      </c>
      <c r="E294">
        <f>0.0922791446923077*(0.3)</f>
        <v>2.7683743407692307E-2</v>
      </c>
      <c r="F294">
        <f>0.0922791446923077*(0.3)</f>
        <v>2.7683743407692307E-2</v>
      </c>
      <c r="G294">
        <f>0.0553674868153846*(0.3)</f>
        <v>1.6610246044615383E-2</v>
      </c>
      <c r="H294">
        <f>0.0922791446923077*(0.3)</f>
        <v>2.7683743407692307E-2</v>
      </c>
      <c r="I294">
        <f>0.0922791446923077*(0.3)</f>
        <v>2.7683743407692307E-2</v>
      </c>
      <c r="J294">
        <f>-0.0184558289384615*(0.3)</f>
        <v>-5.5367486815384604E-3</v>
      </c>
      <c r="K294">
        <f>0.0922791446923077*(0.3)</f>
        <v>2.7683743407692307E-2</v>
      </c>
      <c r="L294">
        <f>0.0452167808992308*(0.3)</f>
        <v>1.356503426976923E-2</v>
      </c>
      <c r="M294">
        <f>0.101507059161538*(0.3)</f>
        <v>3.045211774846154E-2</v>
      </c>
      <c r="N294">
        <f>0.0922791446923077*(0.3)</f>
        <v>2.7683743407692307E-2</v>
      </c>
    </row>
    <row r="295" spans="1:14" x14ac:dyDescent="0.25">
      <c r="A295">
        <f>-43.22020804*(0.3)</f>
        <v>-12.966062412000001</v>
      </c>
      <c r="B295">
        <f>3.32463138769231*(0.3)</f>
        <v>0.99738941630769229</v>
      </c>
      <c r="C295">
        <f>9.97389416307692*(0.3)</f>
        <v>2.9921682489230772</v>
      </c>
      <c r="D295">
        <f>3.32463138769231*(0.3)</f>
        <v>0.99738941630769229</v>
      </c>
      <c r="E295">
        <f>3.32463138769231*(0.3)</f>
        <v>0.99738941630769229</v>
      </c>
      <c r="F295">
        <f>3.32463138769231*(0.3)</f>
        <v>0.99738941630769229</v>
      </c>
      <c r="G295">
        <f>1.99477883261538*(0.3)</f>
        <v>0.59843364978461533</v>
      </c>
      <c r="H295">
        <f>3.32463138769231*(0.3)</f>
        <v>0.99738941630769229</v>
      </c>
      <c r="I295">
        <f>3.32463138769231*(0.3)</f>
        <v>0.99738941630769229</v>
      </c>
      <c r="J295">
        <f>-0.664926277538461*(0.3)</f>
        <v>-0.1994778832615384</v>
      </c>
      <c r="K295">
        <f>3.32463138769231*(0.3)</f>
        <v>0.99738941630769229</v>
      </c>
      <c r="L295">
        <f>1.62906937996923*(0.3)</f>
        <v>0.48872081399076922</v>
      </c>
      <c r="M295">
        <f>3.65709452646154*(0.3)</f>
        <v>1.0971283579384616</v>
      </c>
      <c r="N295">
        <f>3.32463138769231*(0.3)</f>
        <v>0.99738941630769229</v>
      </c>
    </row>
    <row r="296" spans="1:14" x14ac:dyDescent="0.25">
      <c r="A296">
        <f>0.099944021*(0.3)</f>
        <v>2.9983206299999995E-2</v>
      </c>
      <c r="B296">
        <f>-0.00768800161538461*(0.3)</f>
        <v>-2.3064004846153844E-3</v>
      </c>
      <c r="C296">
        <f>-0.0230640048461538*(0.3)</f>
        <v>-6.9192014538461532E-3</v>
      </c>
      <c r="D296">
        <f>-0.00768800161538461*(0.3)</f>
        <v>-2.3064004846153844E-3</v>
      </c>
      <c r="E296">
        <f>-0.00768800161538461*(0.3)</f>
        <v>-2.3064004846153844E-3</v>
      </c>
      <c r="F296">
        <f>-0.00768800161538461*(0.3)</f>
        <v>-2.3064004846153844E-3</v>
      </c>
      <c r="G296">
        <f>-0.00461280096923077*(0.3)</f>
        <v>-1.3838402907692306E-3</v>
      </c>
      <c r="H296">
        <f>-0.00768800161538461*(0.3)</f>
        <v>-2.3064004846153844E-3</v>
      </c>
      <c r="I296">
        <f>-0.00768800161538461*(0.3)</f>
        <v>-2.3064004846153844E-3</v>
      </c>
      <c r="J296">
        <f>0.00153760032307692*(0.3)</f>
        <v>4.6128009692307672E-4</v>
      </c>
      <c r="K296">
        <f>-0.00768800161538461*(0.3)</f>
        <v>-2.3064004846153844E-3</v>
      </c>
      <c r="L296">
        <f>-0.00376712079153846*(0.3)</f>
        <v>-1.1301362374615384E-3</v>
      </c>
      <c r="M296">
        <f>-0.00845680177692308*(0.3)</f>
        <v>-2.5370405330769228E-3</v>
      </c>
      <c r="N296">
        <f>-0.00768800161538461*(0.3)</f>
        <v>-2.3064004846153844E-3</v>
      </c>
    </row>
    <row r="297" spans="1:14" x14ac:dyDescent="0.25">
      <c r="A297">
        <f>-50.56735904*(0.3)</f>
        <v>-15.170207712</v>
      </c>
      <c r="B297">
        <f>3.88979684923077*(0.3)</f>
        <v>1.1669390547692307</v>
      </c>
      <c r="C297">
        <f>11.6693905476923*(0.3)</f>
        <v>3.500817164307692</v>
      </c>
      <c r="D297">
        <f>3.88979684923077*(0.3)</f>
        <v>1.1669390547692307</v>
      </c>
      <c r="E297">
        <f>3.88979684923077*(0.3)</f>
        <v>1.1669390547692307</v>
      </c>
      <c r="F297">
        <f>3.88979684923077*(0.3)</f>
        <v>1.1669390547692307</v>
      </c>
      <c r="G297">
        <f>2.33387810953846*(0.3)</f>
        <v>0.70016343286153837</v>
      </c>
      <c r="H297">
        <f>3.88979684923077*(0.3)</f>
        <v>1.1669390547692307</v>
      </c>
      <c r="I297">
        <f>3.88979684923077*(0.3)</f>
        <v>1.1669390547692307</v>
      </c>
      <c r="J297">
        <f>-0.777959369846154*(0.3)</f>
        <v>-0.23338781095384609</v>
      </c>
      <c r="K297">
        <f>3.88979684923077*(0.3)</f>
        <v>1.1669390547692307</v>
      </c>
      <c r="L297">
        <f>1.90600045612308*(0.3)</f>
        <v>0.5718001368369231</v>
      </c>
      <c r="M297">
        <f>4.27877653415385*(0.3)</f>
        <v>1.2836329602461538</v>
      </c>
      <c r="N297">
        <f>3.88979684923077*(0.3)</f>
        <v>1.1669390547692307</v>
      </c>
    </row>
    <row r="298" spans="1:14" x14ac:dyDescent="0.25">
      <c r="A298">
        <f>-1.238499892*(0.3)</f>
        <v>-0.37154996760000003</v>
      </c>
      <c r="B298">
        <f>0.0952692224615385*(0.3)</f>
        <v>2.8580766738461542E-2</v>
      </c>
      <c r="C298">
        <f>0.285807667384615*(0.3)</f>
        <v>8.5742300215384634E-2</v>
      </c>
      <c r="D298">
        <f>0.0952692224615385*(0.3)</f>
        <v>2.8580766738461542E-2</v>
      </c>
      <c r="E298">
        <f>0.0952692224615385*(0.3)</f>
        <v>2.8580766738461542E-2</v>
      </c>
      <c r="F298">
        <f>0.0952692224615385*(0.3)</f>
        <v>2.8580766738461542E-2</v>
      </c>
      <c r="G298">
        <f>0.0571615334769231*(0.3)</f>
        <v>1.7148460043076925E-2</v>
      </c>
      <c r="H298">
        <f>0.0952692224615385*(0.3)</f>
        <v>2.8580766738461542E-2</v>
      </c>
      <c r="I298">
        <f>0.0952692224615385*(0.3)</f>
        <v>2.8580766738461542E-2</v>
      </c>
      <c r="J298">
        <f>-0.0190538444923077*(0.3)</f>
        <v>-5.7161533476923071E-3</v>
      </c>
      <c r="K298">
        <f>0.0952692224615385*(0.3)</f>
        <v>2.8580766738461542E-2</v>
      </c>
      <c r="L298">
        <f>0.0466819190061539*(0.3)</f>
        <v>1.4004575701846154E-2</v>
      </c>
      <c r="M298">
        <f>0.104796144707692*(0.3)</f>
        <v>3.1438843412307696E-2</v>
      </c>
      <c r="N298">
        <f>0.0952692224615385*(0.3)</f>
        <v>2.8580766738461542E-2</v>
      </c>
    </row>
    <row r="299" spans="1:14" x14ac:dyDescent="0.25">
      <c r="A299">
        <f>-60.93556168*(0.3)</f>
        <v>-18.280668503999998</v>
      </c>
      <c r="B299">
        <f>4.68735089846154*(0.3)</f>
        <v>1.4062052695384615</v>
      </c>
      <c r="C299">
        <f>14.0620526953846*(0.3)</f>
        <v>4.2186158086153842</v>
      </c>
      <c r="D299">
        <f>4.68735089846154*(0.3)</f>
        <v>1.4062052695384615</v>
      </c>
      <c r="E299">
        <f>4.68735089846154*(0.3)</f>
        <v>1.4062052695384615</v>
      </c>
      <c r="F299">
        <f>4.68735089846154*(0.3)</f>
        <v>1.4062052695384615</v>
      </c>
      <c r="G299">
        <f>2.81241053907692*(0.3)</f>
        <v>0.84372316172307682</v>
      </c>
      <c r="H299">
        <f>4.68735089846154*(0.3)</f>
        <v>1.4062052695384615</v>
      </c>
      <c r="I299">
        <f>4.68735089846154*(0.3)</f>
        <v>1.4062052695384615</v>
      </c>
      <c r="J299">
        <f>-0.937470179692308*(0.3)</f>
        <v>-0.28124105390769222</v>
      </c>
      <c r="K299">
        <f>4.68735089846154*(0.3)</f>
        <v>1.4062052695384615</v>
      </c>
      <c r="L299">
        <f>2.29680194024615*(0.3)</f>
        <v>0.68904058207384611</v>
      </c>
      <c r="M299">
        <f>5.15608598830769*(0.3)</f>
        <v>1.5468257964923078</v>
      </c>
      <c r="N299">
        <f>4.68735089846154*(0.3)</f>
        <v>1.4062052695384615</v>
      </c>
    </row>
    <row r="300" spans="1:14" x14ac:dyDescent="0.25">
      <c r="A300">
        <f>0.32156849*(0.3)</f>
        <v>9.647054699999999E-2</v>
      </c>
      <c r="B300">
        <f>-0.0247360376923077*(0.3)</f>
        <v>-7.4208113076923076E-3</v>
      </c>
      <c r="C300">
        <f>-0.0742081130769231*(0.3)</f>
        <v>-2.2262433923076922E-2</v>
      </c>
      <c r="D300">
        <f>-0.0247360376923077*(0.3)</f>
        <v>-7.4208113076923076E-3</v>
      </c>
      <c r="E300">
        <f>-0.0247360376923077*(0.3)</f>
        <v>-7.4208113076923076E-3</v>
      </c>
      <c r="F300">
        <f>-0.0247360376923077*(0.3)</f>
        <v>-7.4208113076923076E-3</v>
      </c>
      <c r="G300">
        <f>-0.0148416226153846*(0.3)</f>
        <v>-4.4524867846153842E-3</v>
      </c>
      <c r="H300">
        <f>-0.0247360376923077*(0.3)</f>
        <v>-7.4208113076923076E-3</v>
      </c>
      <c r="I300">
        <f>-0.0247360376923077*(0.3)</f>
        <v>-7.4208113076923076E-3</v>
      </c>
      <c r="J300">
        <f>0.00494720753846154*(0.3)</f>
        <v>1.4841622615384613E-3</v>
      </c>
      <c r="K300">
        <f>-0.0247360376923077*(0.3)</f>
        <v>-7.4208113076923076E-3</v>
      </c>
      <c r="L300">
        <f>-0.0121206584692308*(0.3)</f>
        <v>-3.6361975407692309E-3</v>
      </c>
      <c r="M300">
        <f>-0.0272096414615385*(0.3)</f>
        <v>-8.1628924384615394E-3</v>
      </c>
      <c r="N300">
        <f>-0.0247360376923077*(0.3)</f>
        <v>-7.4208113076923076E-3</v>
      </c>
    </row>
    <row r="301" spans="1:14" x14ac:dyDescent="0.25">
      <c r="A301">
        <f>-69.6922695*(0.3)</f>
        <v>-20.907680849999998</v>
      </c>
      <c r="B301">
        <f>5.36094380769231*(0.3)</f>
        <v>1.6082831423076922</v>
      </c>
      <c r="C301">
        <f>16.0828314230769*(0.3)</f>
        <v>4.8248494269230759</v>
      </c>
      <c r="D301">
        <f>5.36094380769231*(0.3)</f>
        <v>1.6082831423076922</v>
      </c>
      <c r="E301">
        <f>5.36094380769231*(0.3)</f>
        <v>1.6082831423076922</v>
      </c>
      <c r="F301">
        <f>5.36094380769231*(0.3)</f>
        <v>1.6082831423076922</v>
      </c>
      <c r="G301">
        <f>3.21656628461538*(0.3)</f>
        <v>0.96496988538461526</v>
      </c>
      <c r="H301">
        <f>5.36094380769231*(0.3)</f>
        <v>1.6082831423076922</v>
      </c>
      <c r="I301">
        <f>5.36094380769231*(0.3)</f>
        <v>1.6082831423076922</v>
      </c>
      <c r="J301">
        <f>-1.07218876153846*(0.3)</f>
        <v>-0.32165662846153836</v>
      </c>
      <c r="K301">
        <f>5.36094380769231*(0.3)</f>
        <v>1.6082831423076922</v>
      </c>
      <c r="L301">
        <f>2.62686246576923*(0.3)</f>
        <v>0.78805873973076923</v>
      </c>
      <c r="M301">
        <f>5.89703818846154*(0.3)</f>
        <v>1.7691114565384616</v>
      </c>
      <c r="N301">
        <f>5.36094380769231*(0.3)</f>
        <v>1.6082831423076922</v>
      </c>
    </row>
    <row r="302" spans="1:14" x14ac:dyDescent="0.25">
      <c r="A302">
        <f>-1.350585047*(0.3)</f>
        <v>-0.40517551410000002</v>
      </c>
      <c r="B302">
        <f>0.103891157461538*(0.3)</f>
        <v>3.1167347238461537E-2</v>
      </c>
      <c r="C302">
        <f>0.311673472384615*(0.3)</f>
        <v>9.3502041715384621E-2</v>
      </c>
      <c r="D302">
        <f>0.103891157461538*(0.3)</f>
        <v>3.1167347238461537E-2</v>
      </c>
      <c r="E302">
        <f>0.103891157461538*(0.3)</f>
        <v>3.1167347238461537E-2</v>
      </c>
      <c r="F302">
        <f>0.103891157461538*(0.3)</f>
        <v>3.1167347238461537E-2</v>
      </c>
      <c r="G302">
        <f>0.0623346944769231*(0.3)</f>
        <v>1.8700408343076923E-2</v>
      </c>
      <c r="H302">
        <f>0.103891157461538*(0.3)</f>
        <v>3.1167347238461537E-2</v>
      </c>
      <c r="I302">
        <f>0.103891157461538*(0.3)</f>
        <v>3.1167347238461537E-2</v>
      </c>
      <c r="J302">
        <f>-0.0207782314923077*(0.3)</f>
        <v>-6.2334694476923053E-3</v>
      </c>
      <c r="K302">
        <f>0.103891157461538*(0.3)</f>
        <v>3.1167347238461537E-2</v>
      </c>
      <c r="L302">
        <f>0.0509066671561538*(0.3)</f>
        <v>1.5272000146846152E-2</v>
      </c>
      <c r="M302">
        <f>0.114280273207692*(0.3)</f>
        <v>3.4284081962307693E-2</v>
      </c>
      <c r="N302">
        <f>0.103891157461538*(0.3)</f>
        <v>3.1167347238461537E-2</v>
      </c>
    </row>
    <row r="303" spans="1:14" x14ac:dyDescent="0.25">
      <c r="A303">
        <f>-82.29293956*(0.3)</f>
        <v>-24.687881867999998</v>
      </c>
      <c r="B303">
        <f>6.33022612*(0.3)</f>
        <v>1.899067836</v>
      </c>
      <c r="C303">
        <f>18.99067836*(0.3)</f>
        <v>5.6972035080000003</v>
      </c>
      <c r="D303">
        <f>6.33022612*(0.3)</f>
        <v>1.899067836</v>
      </c>
      <c r="E303">
        <f>6.33022612*(0.3)</f>
        <v>1.899067836</v>
      </c>
      <c r="F303">
        <f>6.33022612*(0.3)</f>
        <v>1.899067836</v>
      </c>
      <c r="G303">
        <f>3.798135672*(0.3)</f>
        <v>1.1394407015999999</v>
      </c>
      <c r="H303">
        <f>6.33022612*(0.3)</f>
        <v>1.899067836</v>
      </c>
      <c r="I303">
        <f>6.33022612*(0.3)</f>
        <v>1.899067836</v>
      </c>
      <c r="J303">
        <f>-1.266045224*(0.3)</f>
        <v>-0.37981356719999992</v>
      </c>
      <c r="K303">
        <f>6.33022612*(0.3)</f>
        <v>1.899067836</v>
      </c>
      <c r="L303">
        <f>3.1018107988*(0.3)</f>
        <v>0.93054323963999996</v>
      </c>
      <c r="M303">
        <f>6.963248732*(0.3)</f>
        <v>2.0889746196000001</v>
      </c>
      <c r="N303">
        <f>6.33022612*(0.3)</f>
        <v>1.899067836</v>
      </c>
    </row>
    <row r="304" spans="1:14" x14ac:dyDescent="0.25">
      <c r="A304">
        <f>-0.295029979*(0.3)</f>
        <v>-8.8508993699999997E-2</v>
      </c>
      <c r="B304">
        <f>0.0226946137692308*(0.3)</f>
        <v>6.8083841307692303E-3</v>
      </c>
      <c r="C304">
        <f>0.0680838413076923*(0.3)</f>
        <v>2.0425152392307692E-2</v>
      </c>
      <c r="D304">
        <f>0.0226946137692308*(0.3)</f>
        <v>6.8083841307692303E-3</v>
      </c>
      <c r="E304">
        <f>0.0226946137692308*(0.3)</f>
        <v>6.8083841307692303E-3</v>
      </c>
      <c r="F304">
        <f>0.0226946137692308*(0.3)</f>
        <v>6.8083841307692303E-3</v>
      </c>
      <c r="G304">
        <f>0.0136167682615385*(0.3)</f>
        <v>4.0850304784615377E-3</v>
      </c>
      <c r="H304">
        <f>0.0226946137692308*(0.3)</f>
        <v>6.8083841307692303E-3</v>
      </c>
      <c r="I304">
        <f>0.0226946137692308*(0.3)</f>
        <v>6.8083841307692303E-3</v>
      </c>
      <c r="J304">
        <f>-0.00453892275384615*(0.3)</f>
        <v>-1.3616768261538459E-3</v>
      </c>
      <c r="K304">
        <f>0.0226946137692308*(0.3)</f>
        <v>6.8083841307692303E-3</v>
      </c>
      <c r="L304">
        <f>0.0111203607469231*(0.3)</f>
        <v>3.3361082240769228E-3</v>
      </c>
      <c r="M304">
        <f>0.0249640751461538*(0.3)</f>
        <v>7.4892225438461541E-3</v>
      </c>
      <c r="N304">
        <f>0.0226946137692308*(0.3)</f>
        <v>6.8083841307692303E-3</v>
      </c>
    </row>
    <row r="305" spans="1:14" x14ac:dyDescent="0.25">
      <c r="A305">
        <f>-4.45139429*(0.3)</f>
        <v>-1.3354182869999998</v>
      </c>
      <c r="B305">
        <f>0.342414945384615*(0.3)</f>
        <v>0.10272448361538461</v>
      </c>
      <c r="C305">
        <f>1.02724483615385*(0.3)</f>
        <v>0.30817345084615383</v>
      </c>
      <c r="D305">
        <f>0.342414945384615*(0.3)</f>
        <v>0.10272448361538461</v>
      </c>
      <c r="E305">
        <f>0.342414945384615*(0.3)</f>
        <v>0.10272448361538461</v>
      </c>
      <c r="F305">
        <f>0.342414945384615*(0.3)</f>
        <v>0.10272448361538461</v>
      </c>
      <c r="G305">
        <f>0.205448967230769*(0.3)</f>
        <v>6.163469016923076E-2</v>
      </c>
      <c r="H305">
        <f>0.342414945384615*(0.3)</f>
        <v>0.10272448361538461</v>
      </c>
      <c r="I305">
        <f>0.342414945384615*(0.3)</f>
        <v>0.10272448361538461</v>
      </c>
      <c r="J305">
        <f>-0.0684829890769231*(0.3)</f>
        <v>-2.0544896723076918E-2</v>
      </c>
      <c r="K305">
        <f>0.342414945384615*(0.3)</f>
        <v>0.10272448361538461</v>
      </c>
      <c r="L305">
        <f>0.167783323238462*(0.3)</f>
        <v>5.0334996971538454E-2</v>
      </c>
      <c r="M305">
        <f>0.376656439923077*(0.3)</f>
        <v>0.11299693197692308</v>
      </c>
      <c r="N305">
        <f>0.342414945384615*(0.3)</f>
        <v>0.10272448361538461</v>
      </c>
    </row>
    <row r="306" spans="1:14" x14ac:dyDescent="0.25">
      <c r="A306">
        <f>-2.561035872*(0.3)</f>
        <v>-0.7683107616</v>
      </c>
      <c r="B306">
        <f>0.197002759384615*(0.3)</f>
        <v>5.9100827815384616E-2</v>
      </c>
      <c r="C306">
        <f>0.591008278153846*(0.3)</f>
        <v>0.17730248344615385</v>
      </c>
      <c r="D306">
        <f>0.197002759384615*(0.3)</f>
        <v>5.9100827815384616E-2</v>
      </c>
      <c r="E306">
        <f>0.197002759384615*(0.3)</f>
        <v>5.9100827815384616E-2</v>
      </c>
      <c r="F306">
        <f>0.197002759384615*(0.3)</f>
        <v>5.9100827815384616E-2</v>
      </c>
      <c r="G306">
        <f>0.118201655630769*(0.3)</f>
        <v>3.5460496689230771E-2</v>
      </c>
      <c r="H306">
        <f>0.197002759384615*(0.3)</f>
        <v>5.9100827815384616E-2</v>
      </c>
      <c r="I306">
        <f>0.197002759384615*(0.3)</f>
        <v>5.9100827815384616E-2</v>
      </c>
      <c r="J306">
        <f>-0.0394005518769231*(0.3)</f>
        <v>-1.1820165563076921E-2</v>
      </c>
      <c r="K306">
        <f>0.197002759384615*(0.3)</f>
        <v>5.9100827815384616E-2</v>
      </c>
      <c r="L306">
        <f>0.0965313520984615*(0.3)</f>
        <v>2.8959405629538464E-2</v>
      </c>
      <c r="M306">
        <f>0.216703035323077*(0.3)</f>
        <v>6.5010910596923085E-2</v>
      </c>
      <c r="N306">
        <f>0.197002759384615*(0.3)</f>
        <v>5.9100827815384616E-2</v>
      </c>
    </row>
    <row r="307" spans="1:14" x14ac:dyDescent="0.25">
      <c r="A307">
        <f>-6.69045784*(0.3)</f>
        <v>-2.007137352</v>
      </c>
      <c r="B307">
        <f>0.514650603076923*(0.3)</f>
        <v>0.15439518092307689</v>
      </c>
      <c r="C307">
        <f>1.54395180923077*(0.3)</f>
        <v>0.46318554276923063</v>
      </c>
      <c r="D307">
        <f>0.514650603076923*(0.3)</f>
        <v>0.15439518092307689</v>
      </c>
      <c r="E307">
        <f>0.514650603076923*(0.3)</f>
        <v>0.15439518092307689</v>
      </c>
      <c r="F307">
        <f>0.514650603076923*(0.3)</f>
        <v>0.15439518092307689</v>
      </c>
      <c r="G307">
        <f>0.308790361846154*(0.3)</f>
        <v>9.2637108553846131E-2</v>
      </c>
      <c r="H307">
        <f>0.514650603076923*(0.3)</f>
        <v>0.15439518092307689</v>
      </c>
      <c r="I307">
        <f>0.514650603076923*(0.3)</f>
        <v>0.15439518092307689</v>
      </c>
      <c r="J307">
        <f>-0.102930120615385*(0.3)</f>
        <v>-3.087903618461537E-2</v>
      </c>
      <c r="K307">
        <f>0.514650603076923*(0.3)</f>
        <v>0.15439518092307689</v>
      </c>
      <c r="L307">
        <f>0.252178795507692*(0.3)</f>
        <v>7.5653638652307689E-2</v>
      </c>
      <c r="M307">
        <f>0.566115663384615*(0.3)</f>
        <v>0.16983469901538462</v>
      </c>
      <c r="N307">
        <f>0.514650603076923*(0.3)</f>
        <v>0.15439518092307689</v>
      </c>
    </row>
    <row r="308" spans="1:14" x14ac:dyDescent="0.25">
      <c r="A308">
        <f>2.745441872*(0.3)</f>
        <v>0.82363256159999987</v>
      </c>
      <c r="B308">
        <f>-0.211187836307692*(0.3)</f>
        <v>-6.3356350892307678E-2</v>
      </c>
      <c r="C308">
        <f>-0.633563508923077*(0.3)</f>
        <v>-0.19006905267692306</v>
      </c>
      <c r="D308">
        <f>-0.211187836307692*(0.3)</f>
        <v>-6.3356350892307678E-2</v>
      </c>
      <c r="E308">
        <f>-0.211187836307692*(0.3)</f>
        <v>-6.3356350892307678E-2</v>
      </c>
      <c r="F308">
        <f>-0.211187836307692*(0.3)</f>
        <v>-6.3356350892307678E-2</v>
      </c>
      <c r="G308">
        <f>-0.126712701784615*(0.3)</f>
        <v>-3.8013810535384607E-2</v>
      </c>
      <c r="H308">
        <f>-0.211187836307692*(0.3)</f>
        <v>-6.3356350892307678E-2</v>
      </c>
      <c r="I308">
        <f>-0.211187836307692*(0.3)</f>
        <v>-6.3356350892307678E-2</v>
      </c>
      <c r="J308">
        <f>0.0422375672615384*(0.3)</f>
        <v>1.2671270178461534E-2</v>
      </c>
      <c r="K308">
        <f>-0.211187836307692*(0.3)</f>
        <v>-6.3356350892307678E-2</v>
      </c>
      <c r="L308">
        <f>-0.103482039790769*(0.3)</f>
        <v>-3.1044611937230761E-2</v>
      </c>
      <c r="M308">
        <f>-0.232306619938462*(0.3)</f>
        <v>-6.969198598153846E-2</v>
      </c>
      <c r="N308">
        <f>-0.211187836307692*(0.3)</f>
        <v>-6.3356350892307678E-2</v>
      </c>
    </row>
    <row r="309" spans="1:14" x14ac:dyDescent="0.25">
      <c r="A309">
        <f>-12.72368584*(0.3)</f>
        <v>-3.8171057519999998</v>
      </c>
      <c r="B309">
        <f>0.978745064615385*(0.3)</f>
        <v>0.29362351938461534</v>
      </c>
      <c r="C309">
        <f>2.93623519384615*(0.3)</f>
        <v>0.88087055815384607</v>
      </c>
      <c r="D309">
        <f>0.978745064615385*(0.3)</f>
        <v>0.29362351938461534</v>
      </c>
      <c r="E309">
        <f>0.978745064615385*(0.3)</f>
        <v>0.29362351938461534</v>
      </c>
      <c r="F309">
        <f>0.978745064615385*(0.3)</f>
        <v>0.29362351938461534</v>
      </c>
      <c r="G309">
        <f>0.587247038769231*(0.3)</f>
        <v>0.17617411163076921</v>
      </c>
      <c r="H309">
        <f>0.978745064615385*(0.3)</f>
        <v>0.29362351938461534</v>
      </c>
      <c r="I309">
        <f>0.978745064615385*(0.3)</f>
        <v>0.29362351938461534</v>
      </c>
      <c r="J309">
        <f>-0.195749012923077*(0.3)</f>
        <v>-5.8724703876923058E-2</v>
      </c>
      <c r="K309">
        <f>0.978745064615385*(0.3)</f>
        <v>0.29362351938461534</v>
      </c>
      <c r="L309">
        <f>0.479585081661538*(0.3)</f>
        <v>0.14387552449846153</v>
      </c>
      <c r="M309">
        <f>1.07661957107692*(0.3)</f>
        <v>0.32298587132307693</v>
      </c>
      <c r="N309">
        <f>0.978745064615385*(0.3)</f>
        <v>0.29362351938461534</v>
      </c>
    </row>
    <row r="310" spans="1:14" x14ac:dyDescent="0.25">
      <c r="A310">
        <f>0.610756094*(0.3)</f>
        <v>0.1832268282</v>
      </c>
      <c r="B310">
        <f>-0.046981238*(0.3)</f>
        <v>-1.4094371399999998E-2</v>
      </c>
      <c r="C310">
        <f>-0.140943714*(0.3)</f>
        <v>-4.2283114199999999E-2</v>
      </c>
      <c r="D310">
        <f>-0.046981238*(0.3)</f>
        <v>-1.4094371399999998E-2</v>
      </c>
      <c r="E310">
        <f>-0.046981238*(0.3)</f>
        <v>-1.4094371399999998E-2</v>
      </c>
      <c r="F310">
        <f>-0.046981238*(0.3)</f>
        <v>-1.4094371399999998E-2</v>
      </c>
      <c r="G310">
        <f>-0.0281887428*(0.3)</f>
        <v>-8.4566228399999988E-3</v>
      </c>
      <c r="H310">
        <f>-0.046981238*(0.3)</f>
        <v>-1.4094371399999998E-2</v>
      </c>
      <c r="I310">
        <f>-0.046981238*(0.3)</f>
        <v>-1.4094371399999998E-2</v>
      </c>
      <c r="J310">
        <f>0.0093962476*(0.3)</f>
        <v>2.8188742799999992E-3</v>
      </c>
      <c r="K310">
        <f>-0.046981238*(0.3)</f>
        <v>-1.4094371399999998E-2</v>
      </c>
      <c r="L310">
        <f>-0.02302080662*(0.3)</f>
        <v>-6.9062419859999991E-3</v>
      </c>
      <c r="M310">
        <f>-0.0516793618*(0.3)</f>
        <v>-1.5503808539999999E-2</v>
      </c>
      <c r="N310">
        <f>-0.046981238*(0.3)</f>
        <v>-1.4094371399999998E-2</v>
      </c>
    </row>
    <row r="311" spans="1:14" x14ac:dyDescent="0.25">
      <c r="A311">
        <f>-13.01883437*(0.3)</f>
        <v>-3.905650311</v>
      </c>
      <c r="B311">
        <f>1.00144879769231*(0.3)</f>
        <v>0.30043463930769226</v>
      </c>
      <c r="C311">
        <f>3.00434639307692*(0.3)</f>
        <v>0.90130391792307685</v>
      </c>
      <c r="D311">
        <f>1.00144879769231*(0.3)</f>
        <v>0.30043463930769226</v>
      </c>
      <c r="E311">
        <f>1.00144879769231*(0.3)</f>
        <v>0.30043463930769226</v>
      </c>
      <c r="F311">
        <f>1.00144879769231*(0.3)</f>
        <v>0.30043463930769226</v>
      </c>
      <c r="G311">
        <f>0.600869278615385*(0.3)</f>
        <v>0.18026078358461536</v>
      </c>
      <c r="H311">
        <f>1.00144879769231*(0.3)</f>
        <v>0.30043463930769226</v>
      </c>
      <c r="I311">
        <f>1.00144879769231*(0.3)</f>
        <v>0.30043463930769226</v>
      </c>
      <c r="J311">
        <f>-0.200289759538461*(0.3)</f>
        <v>-6.0086927861538443E-2</v>
      </c>
      <c r="K311">
        <f>1.00144879769231*(0.3)</f>
        <v>0.30043463930769226</v>
      </c>
      <c r="L311">
        <f>0.490709910869231*(0.3)</f>
        <v>0.14721297326076924</v>
      </c>
      <c r="M311">
        <f>1.10159367746154*(0.3)</f>
        <v>0.33047810323846155</v>
      </c>
      <c r="N311">
        <f>1.00144879769231*(0.3)</f>
        <v>0.30043463930769226</v>
      </c>
    </row>
    <row r="312" spans="1:14" x14ac:dyDescent="0.25">
      <c r="A312">
        <f>2.140950186*(0.3)</f>
        <v>0.64228505579999995</v>
      </c>
      <c r="B312">
        <f>-0.164688475846154*(0.3)</f>
        <v>-4.940654275384615E-2</v>
      </c>
      <c r="C312">
        <f>-0.494065427538461*(0.3)</f>
        <v>-0.14821962826153845</v>
      </c>
      <c r="D312">
        <f>-0.164688475846154*(0.3)</f>
        <v>-4.940654275384615E-2</v>
      </c>
      <c r="E312">
        <f>-0.164688475846154*(0.3)</f>
        <v>-4.940654275384615E-2</v>
      </c>
      <c r="F312">
        <f>-0.164688475846154*(0.3)</f>
        <v>-4.940654275384615E-2</v>
      </c>
      <c r="G312">
        <f>-0.0988130855076923*(0.3)</f>
        <v>-2.9643925652307689E-2</v>
      </c>
      <c r="H312">
        <f>-0.164688475846154*(0.3)</f>
        <v>-4.940654275384615E-2</v>
      </c>
      <c r="I312">
        <f>-0.164688475846154*(0.3)</f>
        <v>-4.940654275384615E-2</v>
      </c>
      <c r="J312">
        <f>0.0329376951692308*(0.3)</f>
        <v>9.8813085507692289E-3</v>
      </c>
      <c r="K312">
        <f>-0.164688475846154*(0.3)</f>
        <v>-4.940654275384615E-2</v>
      </c>
      <c r="L312">
        <f>-0.0806973531646154*(0.3)</f>
        <v>-2.4209205949384614E-2</v>
      </c>
      <c r="M312">
        <f>-0.181157323430769*(0.3)</f>
        <v>-5.434719702923077E-2</v>
      </c>
      <c r="N312">
        <f>-0.164688475846154*(0.3)</f>
        <v>-4.940654275384615E-2</v>
      </c>
    </row>
    <row r="313" spans="1:14" x14ac:dyDescent="0.25">
      <c r="A313">
        <f>-16.43040384*(0.3)</f>
        <v>-4.9291211519999996</v>
      </c>
      <c r="B313">
        <f>1.26387721846154*(0.3)</f>
        <v>0.37916316553846158</v>
      </c>
      <c r="C313">
        <f>3.79163165538462*(0.3)</f>
        <v>1.1374894966153846</v>
      </c>
      <c r="D313">
        <f>1.26387721846154*(0.3)</f>
        <v>0.37916316553846158</v>
      </c>
      <c r="E313">
        <f>1.26387721846154*(0.3)</f>
        <v>0.37916316553846158</v>
      </c>
      <c r="F313">
        <f>1.26387721846154*(0.3)</f>
        <v>0.37916316553846158</v>
      </c>
      <c r="G313">
        <f>0.758326331076923*(0.3)</f>
        <v>0.22749789932307693</v>
      </c>
      <c r="H313">
        <f>1.26387721846154*(0.3)</f>
        <v>0.37916316553846158</v>
      </c>
      <c r="I313">
        <f>1.26387721846154*(0.3)</f>
        <v>0.37916316553846158</v>
      </c>
      <c r="J313">
        <f>-0.252775443692308*(0.3)</f>
        <v>-7.5832633107692296E-2</v>
      </c>
      <c r="K313">
        <f>1.26387721846154*(0.3)</f>
        <v>0.37916316553846158</v>
      </c>
      <c r="L313">
        <f>0.619299837046154*(0.3)</f>
        <v>0.18578995111384616</v>
      </c>
      <c r="M313">
        <f>1.39026494030769*(0.3)</f>
        <v>0.41707948209230777</v>
      </c>
      <c r="N313">
        <f>1.26387721846154*(0.3)</f>
        <v>0.37916316553846158</v>
      </c>
    </row>
    <row r="314" spans="1:14" x14ac:dyDescent="0.25">
      <c r="A314">
        <f>-4.06966293*(0.3)</f>
        <v>-1.2208988789999999</v>
      </c>
      <c r="B314">
        <f>0.313050994615385*(0.3)</f>
        <v>9.3915298384615375E-2</v>
      </c>
      <c r="C314">
        <f>0.939152983846154*(0.3)</f>
        <v>0.28174589515384613</v>
      </c>
      <c r="D314">
        <f>0.313050994615385*(0.3)</f>
        <v>9.3915298384615375E-2</v>
      </c>
      <c r="E314">
        <f>0.313050994615385*(0.3)</f>
        <v>9.3915298384615375E-2</v>
      </c>
      <c r="F314">
        <f>0.313050994615385*(0.3)</f>
        <v>9.3915298384615375E-2</v>
      </c>
      <c r="G314">
        <f>0.187830596769231*(0.3)</f>
        <v>5.634917903076922E-2</v>
      </c>
      <c r="H314">
        <f>0.313050994615385*(0.3)</f>
        <v>9.3915298384615375E-2</v>
      </c>
      <c r="I314">
        <f>0.313050994615385*(0.3)</f>
        <v>9.3915298384615375E-2</v>
      </c>
      <c r="J314">
        <f>-0.0626101989230769*(0.3)</f>
        <v>-1.8783059676923074E-2</v>
      </c>
      <c r="K314">
        <f>0.313050994615385*(0.3)</f>
        <v>9.3915298384615375E-2</v>
      </c>
      <c r="L314">
        <f>0.153394987361538*(0.3)</f>
        <v>4.6018496208461532E-2</v>
      </c>
      <c r="M314">
        <f>0.344356094076923*(0.3)</f>
        <v>0.10330682822307692</v>
      </c>
      <c r="N314">
        <f>0.313050994615385*(0.3)</f>
        <v>9.3915298384615375E-2</v>
      </c>
    </row>
    <row r="315" spans="1:14" x14ac:dyDescent="0.25">
      <c r="A315">
        <f>-16.46183997*(0.3)</f>
        <v>-4.9385519909999998</v>
      </c>
      <c r="B315">
        <f>1.26629538230769*(0.3)</f>
        <v>0.37988861469230767</v>
      </c>
      <c r="C315">
        <f>3.79888614692308*(0.3)</f>
        <v>1.139665844076923</v>
      </c>
      <c r="D315">
        <f>1.26629538230769*(0.3)</f>
        <v>0.37988861469230767</v>
      </c>
      <c r="E315">
        <f>1.26629538230769*(0.3)</f>
        <v>0.37988861469230767</v>
      </c>
      <c r="F315">
        <f>1.26629538230769*(0.3)</f>
        <v>0.37988861469230767</v>
      </c>
      <c r="G315">
        <f>0.759777229384615*(0.3)</f>
        <v>0.22793316881538458</v>
      </c>
      <c r="H315">
        <f>1.26629538230769*(0.3)</f>
        <v>0.37988861469230767</v>
      </c>
      <c r="I315">
        <f>1.26629538230769*(0.3)</f>
        <v>0.37988861469230767</v>
      </c>
      <c r="J315">
        <f>-0.253259076461538*(0.3)</f>
        <v>-7.5977722938461514E-2</v>
      </c>
      <c r="K315">
        <f>1.26629538230769*(0.3)</f>
        <v>0.37988861469230767</v>
      </c>
      <c r="L315">
        <f>0.620484737330769*(0.3)</f>
        <v>0.18614542119923078</v>
      </c>
      <c r="M315">
        <f>1.39292492053846*(0.3)</f>
        <v>0.41787747616153853</v>
      </c>
      <c r="N315">
        <f>1.26629538230769*(0.3)</f>
        <v>0.37988861469230767</v>
      </c>
    </row>
    <row r="316" spans="1:14" x14ac:dyDescent="0.25">
      <c r="A316">
        <f>-0.2696034*(0.3)</f>
        <v>-8.0881019999999998E-2</v>
      </c>
      <c r="B316">
        <f>0.0207387230769231*(0.3)</f>
        <v>6.2216169230769223E-3</v>
      </c>
      <c r="C316">
        <f>0.0622161692307692*(0.3)</f>
        <v>1.8664850769230766E-2</v>
      </c>
      <c r="D316">
        <f>0.0207387230769231*(0.3)</f>
        <v>6.2216169230769223E-3</v>
      </c>
      <c r="E316">
        <f>0.0207387230769231*(0.3)</f>
        <v>6.2216169230769223E-3</v>
      </c>
      <c r="F316">
        <f>0.0207387230769231*(0.3)</f>
        <v>6.2216169230769223E-3</v>
      </c>
      <c r="G316">
        <f>0.0124432338461538*(0.3)</f>
        <v>3.7329701538461532E-3</v>
      </c>
      <c r="H316">
        <f>0.0207387230769231*(0.3)</f>
        <v>6.2216169230769223E-3</v>
      </c>
      <c r="I316">
        <f>0.0207387230769231*(0.3)</f>
        <v>6.2216169230769223E-3</v>
      </c>
      <c r="J316">
        <f>-0.00414774461538461*(0.3)</f>
        <v>-1.2443233846153841E-3</v>
      </c>
      <c r="K316">
        <f>0.0207387230769231*(0.3)</f>
        <v>6.2216169230769223E-3</v>
      </c>
      <c r="L316">
        <f>0.0101619743076923*(0.3)</f>
        <v>3.0485922923076916E-3</v>
      </c>
      <c r="M316">
        <f>0.0228125953846154*(0.3)</f>
        <v>6.8437786153846157E-3</v>
      </c>
      <c r="N316">
        <f>0.0207387230769231*(0.3)</f>
        <v>6.2216169230769223E-3</v>
      </c>
    </row>
    <row r="317" spans="1:14" x14ac:dyDescent="0.25">
      <c r="A317">
        <f>-21.106113*(0.3)</f>
        <v>-6.3318339000000003</v>
      </c>
      <c r="B317">
        <f>1.62354715384615*(0.3)</f>
        <v>0.48706414615384613</v>
      </c>
      <c r="C317">
        <f>4.87064146153846*(0.3)</f>
        <v>1.4611924384615385</v>
      </c>
      <c r="D317">
        <f>1.62354715384615*(0.3)</f>
        <v>0.48706414615384613</v>
      </c>
      <c r="E317">
        <f>1.62354715384615*(0.3)</f>
        <v>0.48706414615384613</v>
      </c>
      <c r="F317">
        <f>1.62354715384615*(0.3)</f>
        <v>0.48706414615384613</v>
      </c>
      <c r="G317">
        <f>0.974128292307692*(0.3)</f>
        <v>0.29223848769230765</v>
      </c>
      <c r="H317">
        <f>1.62354715384615*(0.3)</f>
        <v>0.48706414615384613</v>
      </c>
      <c r="I317">
        <f>1.62354715384615*(0.3)</f>
        <v>0.48706414615384613</v>
      </c>
      <c r="J317">
        <f>-0.324709430769231*(0.3)</f>
        <v>-9.7412829230769202E-2</v>
      </c>
      <c r="K317">
        <f>1.62354715384615*(0.3)</f>
        <v>0.48706414615384613</v>
      </c>
      <c r="L317">
        <f>0.795538105384615*(0.3)</f>
        <v>0.23866143161538461</v>
      </c>
      <c r="M317">
        <f>1.78590186923077*(0.3)</f>
        <v>0.5357705607692308</v>
      </c>
      <c r="N317">
        <f>1.62354715384615*(0.3)</f>
        <v>0.48706414615384613</v>
      </c>
    </row>
    <row r="318" spans="1:14" x14ac:dyDescent="0.25">
      <c r="A318">
        <f>-1.233523099*(0.3)</f>
        <v>-0.37005692969999998</v>
      </c>
      <c r="B318">
        <f>0.0948863922307692*(0.3)</f>
        <v>2.8465917669230765E-2</v>
      </c>
      <c r="C318">
        <f>0.284659176692308*(0.3)</f>
        <v>8.5397753007692298E-2</v>
      </c>
      <c r="D318">
        <f>0.0948863922307692*(0.3)</f>
        <v>2.8465917669230765E-2</v>
      </c>
      <c r="E318">
        <f>0.0948863922307692*(0.3)</f>
        <v>2.8465917669230765E-2</v>
      </c>
      <c r="F318">
        <f>0.0948863922307692*(0.3)</f>
        <v>2.8465917669230765E-2</v>
      </c>
      <c r="G318">
        <f>0.0569318353384615*(0.3)</f>
        <v>1.7079550601538457E-2</v>
      </c>
      <c r="H318">
        <f>0.0948863922307692*(0.3)</f>
        <v>2.8465917669230765E-2</v>
      </c>
      <c r="I318">
        <f>0.0948863922307692*(0.3)</f>
        <v>2.8465917669230765E-2</v>
      </c>
      <c r="J318">
        <f>-0.0189772784461538*(0.3)</f>
        <v>-5.6931835338461514E-3</v>
      </c>
      <c r="K318">
        <f>0.0948863922307692*(0.3)</f>
        <v>2.8465917669230765E-2</v>
      </c>
      <c r="L318">
        <f>0.0464943321930769*(0.3)</f>
        <v>1.3948299657923076E-2</v>
      </c>
      <c r="M318">
        <f>0.104375031453846*(0.3)</f>
        <v>3.1312509436153844E-2</v>
      </c>
      <c r="N318">
        <f>0.0948863922307692*(0.3)</f>
        <v>2.8465917669230765E-2</v>
      </c>
    </row>
    <row r="319" spans="1:14" x14ac:dyDescent="0.25">
      <c r="A319">
        <f>-22.29893363*(0.3)</f>
        <v>-6.6896800890000003</v>
      </c>
      <c r="B319">
        <f>1.71530258692308*(0.3)</f>
        <v>0.51459077607692305</v>
      </c>
      <c r="C319">
        <f>5.14590776076923*(0.3)</f>
        <v>1.5437723282307692</v>
      </c>
      <c r="D319">
        <f>1.71530258692308*(0.3)</f>
        <v>0.51459077607692305</v>
      </c>
      <c r="E319">
        <f>1.71530258692308*(0.3)</f>
        <v>0.51459077607692305</v>
      </c>
      <c r="F319">
        <f>1.71530258692308*(0.3)</f>
        <v>0.51459077607692305</v>
      </c>
      <c r="G319">
        <f>1.02918155215385*(0.3)</f>
        <v>0.30875446564615383</v>
      </c>
      <c r="H319">
        <f>1.71530258692308*(0.3)</f>
        <v>0.51459077607692305</v>
      </c>
      <c r="I319">
        <f>1.71530258692308*(0.3)</f>
        <v>0.51459077607692305</v>
      </c>
      <c r="J319">
        <f>-0.343060517384615*(0.3)</f>
        <v>-0.10291815521538458</v>
      </c>
      <c r="K319">
        <f>1.71530258692308*(0.3)</f>
        <v>0.51459077607692305</v>
      </c>
      <c r="L319">
        <f>0.840498267592308*(0.3)</f>
        <v>0.25214948027769229</v>
      </c>
      <c r="M319">
        <f>1.88683284561538*(0.3)</f>
        <v>0.56604985368461536</v>
      </c>
      <c r="N319">
        <f>1.71530258692308*(0.3)</f>
        <v>0.51459077607692305</v>
      </c>
    </row>
    <row r="320" spans="1:14" x14ac:dyDescent="0.25">
      <c r="A320">
        <f>-2.853604689*(0.3)</f>
        <v>-0.85608140669999999</v>
      </c>
      <c r="B320">
        <f>0.219508053*(0.3)</f>
        <v>6.5852415900000003E-2</v>
      </c>
      <c r="C320">
        <f>0.658524159*(0.3)</f>
        <v>0.19755724770000002</v>
      </c>
      <c r="D320">
        <f>0.219508053*(0.3)</f>
        <v>6.5852415900000003E-2</v>
      </c>
      <c r="E320">
        <f>0.219508053*(0.3)</f>
        <v>6.5852415900000003E-2</v>
      </c>
      <c r="F320">
        <f>0.219508053*(0.3)</f>
        <v>6.5852415900000003E-2</v>
      </c>
      <c r="G320">
        <f>0.1317048318*(0.3)</f>
        <v>3.951144954E-2</v>
      </c>
      <c r="H320">
        <f>0.219508053*(0.3)</f>
        <v>6.5852415900000003E-2</v>
      </c>
      <c r="I320">
        <f>0.219508053*(0.3)</f>
        <v>6.5852415900000003E-2</v>
      </c>
      <c r="J320">
        <f>-0.0439016106*(0.3)</f>
        <v>-1.3170483179999998E-2</v>
      </c>
      <c r="K320">
        <f>0.219508053*(0.3)</f>
        <v>6.5852415900000003E-2</v>
      </c>
      <c r="L320">
        <f>0.10755894597*(0.3)</f>
        <v>3.2267683791E-2</v>
      </c>
      <c r="M320">
        <f>0.2414588583*(0.3)</f>
        <v>7.2437657490000001E-2</v>
      </c>
      <c r="N320">
        <f>0.219508053*(0.3)</f>
        <v>6.5852415900000003E-2</v>
      </c>
    </row>
    <row r="321" spans="1:14" x14ac:dyDescent="0.25">
      <c r="A321">
        <f>-1.088528037*(0.3)</f>
        <v>-0.32655841109999995</v>
      </c>
      <c r="B321">
        <f>0.0837329259230769*(0.3)</f>
        <v>2.5119877776923077E-2</v>
      </c>
      <c r="C321">
        <f>0.251198777769231*(0.3)</f>
        <v>7.5359633330769227E-2</v>
      </c>
      <c r="D321">
        <f>0.0837329259230769*(0.3)</f>
        <v>2.5119877776923077E-2</v>
      </c>
      <c r="E321">
        <f>0.0837329259230769*(0.3)</f>
        <v>2.5119877776923077E-2</v>
      </c>
      <c r="F321">
        <f>0.0837329259230769*(0.3)</f>
        <v>2.5119877776923077E-2</v>
      </c>
      <c r="G321">
        <f>0.0502397555538462*(0.3)</f>
        <v>1.5071926666153845E-2</v>
      </c>
      <c r="H321">
        <f>0.0837329259230769*(0.3)</f>
        <v>2.5119877776923077E-2</v>
      </c>
      <c r="I321">
        <f>0.0837329259230769*(0.3)</f>
        <v>2.5119877776923077E-2</v>
      </c>
      <c r="J321">
        <f>-0.0167465851846154*(0.3)</f>
        <v>-5.0239755553846141E-3</v>
      </c>
      <c r="K321">
        <f>0.0837329259230769*(0.3)</f>
        <v>2.5119877776923077E-2</v>
      </c>
      <c r="L321">
        <f>0.0410291337023077*(0.3)</f>
        <v>1.2308740110692308E-2</v>
      </c>
      <c r="M321">
        <f>0.0921062185153846*(0.3)</f>
        <v>2.7631865554615383E-2</v>
      </c>
      <c r="N321">
        <f>0.0837329259230769*(0.3)</f>
        <v>2.5119877776923077E-2</v>
      </c>
    </row>
    <row r="322" spans="1:14" x14ac:dyDescent="0.25">
      <c r="A322">
        <f>2.3074183*(0.3)</f>
        <v>0.69222549</v>
      </c>
      <c r="B322">
        <f>-0.177493715384615*(0.3)</f>
        <v>-5.3248114615384617E-2</v>
      </c>
      <c r="C322">
        <f>-0.532481146153846*(0.3)</f>
        <v>-0.15974434384615382</v>
      </c>
      <c r="D322">
        <f>-0.177493715384615*(0.3)</f>
        <v>-5.3248114615384617E-2</v>
      </c>
      <c r="E322">
        <f>-0.177493715384615*(0.3)</f>
        <v>-5.3248114615384617E-2</v>
      </c>
      <c r="F322">
        <f>-0.177493715384615*(0.3)</f>
        <v>-5.3248114615384617E-2</v>
      </c>
      <c r="G322">
        <f>-0.106496229230769*(0.3)</f>
        <v>-3.1948868769230768E-2</v>
      </c>
      <c r="H322">
        <f>-0.177493715384615*(0.3)</f>
        <v>-5.3248114615384617E-2</v>
      </c>
      <c r="I322">
        <f>-0.177493715384615*(0.3)</f>
        <v>-5.3248114615384617E-2</v>
      </c>
      <c r="J322">
        <f>0.0354987430769231*(0.3)</f>
        <v>1.0649622923076921E-2</v>
      </c>
      <c r="K322">
        <f>-0.177493715384615*(0.3)</f>
        <v>-5.3248114615384617E-2</v>
      </c>
      <c r="L322">
        <f>-0.0869719205384615*(0.3)</f>
        <v>-2.6091576161538458E-2</v>
      </c>
      <c r="M322">
        <f>-0.195243086923077*(0.3)</f>
        <v>-5.8572926076923083E-2</v>
      </c>
      <c r="N322">
        <f>-0.177493715384615*(0.3)</f>
        <v>-5.3248114615384617E-2</v>
      </c>
    </row>
    <row r="323" spans="1:14" x14ac:dyDescent="0.25">
      <c r="A323">
        <f>-3.466474591*(0.3)</f>
        <v>-1.0399423772999998</v>
      </c>
      <c r="B323">
        <f>0.266651891615385*(0.3)</f>
        <v>7.9995567484615379E-2</v>
      </c>
      <c r="C323">
        <f>0.799955674846154*(0.3)</f>
        <v>0.23998670245384612</v>
      </c>
      <c r="D323">
        <f>0.266651891615385*(0.3)</f>
        <v>7.9995567484615379E-2</v>
      </c>
      <c r="E323">
        <f>0.266651891615385*(0.3)</f>
        <v>7.9995567484615379E-2</v>
      </c>
      <c r="F323">
        <f>0.266651891615385*(0.3)</f>
        <v>7.9995567484615379E-2</v>
      </c>
      <c r="G323">
        <f>0.159991134969231*(0.3)</f>
        <v>4.7997340490769223E-2</v>
      </c>
      <c r="H323">
        <f>0.266651891615385*(0.3)</f>
        <v>7.9995567484615379E-2</v>
      </c>
      <c r="I323">
        <f>0.266651891615385*(0.3)</f>
        <v>7.9995567484615379E-2</v>
      </c>
      <c r="J323">
        <f>-0.0533303783230769*(0.3)</f>
        <v>-1.5999113496923071E-2</v>
      </c>
      <c r="K323">
        <f>0.266651891615385*(0.3)</f>
        <v>7.9995567484615379E-2</v>
      </c>
      <c r="L323">
        <f>0.130659426891538*(0.3)</f>
        <v>3.9197828067461533E-2</v>
      </c>
      <c r="M323">
        <f>0.293317080776923*(0.3)</f>
        <v>8.7995124233076927E-2</v>
      </c>
      <c r="N323">
        <f>0.266651891615385*(0.3)</f>
        <v>7.9995567484615379E-2</v>
      </c>
    </row>
    <row r="324" spans="1:14" x14ac:dyDescent="0.25">
      <c r="A324">
        <f>-0.171656082*(0.3)</f>
        <v>-5.1496824599999998E-2</v>
      </c>
      <c r="B324">
        <f>0.013204314*(0.3)</f>
        <v>3.961294199999999E-3</v>
      </c>
      <c r="C324">
        <f>0.039612942*(0.3)</f>
        <v>1.1883882599999999E-2</v>
      </c>
      <c r="D324">
        <f>0.013204314*(0.3)</f>
        <v>3.961294199999999E-3</v>
      </c>
      <c r="E324">
        <f>0.013204314*(0.3)</f>
        <v>3.961294199999999E-3</v>
      </c>
      <c r="F324">
        <f>0.013204314*(0.3)</f>
        <v>3.961294199999999E-3</v>
      </c>
      <c r="G324">
        <f>0.0079225884*(0.3)</f>
        <v>2.3767765199999994E-3</v>
      </c>
      <c r="H324">
        <f>0.013204314*(0.3)</f>
        <v>3.961294199999999E-3</v>
      </c>
      <c r="I324">
        <f>0.013204314*(0.3)</f>
        <v>3.961294199999999E-3</v>
      </c>
      <c r="J324">
        <f>-0.0026408628*(0.3)</f>
        <v>-7.9225883999999968E-4</v>
      </c>
      <c r="K324">
        <f>0.013204314*(0.3)</f>
        <v>3.961294199999999E-3</v>
      </c>
      <c r="L324">
        <f>0.00647011386*(0.3)</f>
        <v>1.9410341579999995E-3</v>
      </c>
      <c r="M324">
        <f>0.0145247454*(0.3)</f>
        <v>4.3574236199999993E-3</v>
      </c>
      <c r="N324">
        <f>0.013204314*(0.3)</f>
        <v>3.961294199999999E-3</v>
      </c>
    </row>
    <row r="325" spans="1:14" x14ac:dyDescent="0.25">
      <c r="A325">
        <f>-5.445006268*(0.3)</f>
        <v>-1.6335018804000001</v>
      </c>
      <c r="B325">
        <f>0.418846636*(0.3)</f>
        <v>0.1256539908</v>
      </c>
      <c r="C325">
        <f>1.256539908*(0.3)</f>
        <v>0.37696197239999996</v>
      </c>
      <c r="D325">
        <f>0.418846636*(0.3)</f>
        <v>0.1256539908</v>
      </c>
      <c r="E325">
        <f>0.418846636*(0.3)</f>
        <v>0.1256539908</v>
      </c>
      <c r="F325">
        <f>0.418846636*(0.3)</f>
        <v>0.1256539908</v>
      </c>
      <c r="G325">
        <f>0.2513079816*(0.3)</f>
        <v>7.539239448E-2</v>
      </c>
      <c r="H325">
        <f>0.418846636*(0.3)</f>
        <v>0.1256539908</v>
      </c>
      <c r="I325">
        <f>0.418846636*(0.3)</f>
        <v>0.1256539908</v>
      </c>
      <c r="J325">
        <f>-0.0837693272*(0.3)</f>
        <v>-2.5130798159999992E-2</v>
      </c>
      <c r="K325">
        <f>0.418846636*(0.3)</f>
        <v>0.1256539908</v>
      </c>
      <c r="L325">
        <f>0.20523485164*(0.3)</f>
        <v>6.1570455491999992E-2</v>
      </c>
      <c r="M325">
        <f>0.4607312996*(0.3)</f>
        <v>0.13821938988000002</v>
      </c>
      <c r="N325">
        <f>0.418846636*(0.3)</f>
        <v>0.1256539908</v>
      </c>
    </row>
    <row r="326" spans="1:14" x14ac:dyDescent="0.25">
      <c r="A326">
        <f>-1.91779364*(0.3)</f>
        <v>-0.57533809199999997</v>
      </c>
      <c r="B326">
        <f>0.147522587692308*(0.3)</f>
        <v>4.4256776307692307E-2</v>
      </c>
      <c r="C326">
        <f>0.442567763076923*(0.3)</f>
        <v>0.13277032892307691</v>
      </c>
      <c r="D326">
        <f>0.147522587692308*(0.3)</f>
        <v>4.4256776307692307E-2</v>
      </c>
      <c r="E326">
        <f>0.147522587692308*(0.3)</f>
        <v>4.4256776307692307E-2</v>
      </c>
      <c r="F326">
        <f>0.147522587692308*(0.3)</f>
        <v>4.4256776307692307E-2</v>
      </c>
      <c r="G326">
        <f>0.0885135526153846*(0.3)</f>
        <v>2.6554065784615385E-2</v>
      </c>
      <c r="H326">
        <f>0.147522587692308*(0.3)</f>
        <v>4.4256776307692307E-2</v>
      </c>
      <c r="I326">
        <f>0.147522587692308*(0.3)</f>
        <v>4.4256776307692307E-2</v>
      </c>
      <c r="J326">
        <f>-0.0295045175384615*(0.3)</f>
        <v>-8.8513552615384593E-3</v>
      </c>
      <c r="K326">
        <f>0.147522587692308*(0.3)</f>
        <v>4.4256776307692307E-2</v>
      </c>
      <c r="L326">
        <f>0.0722860679692308*(0.3)</f>
        <v>2.1685820390769231E-2</v>
      </c>
      <c r="M326">
        <f>0.162274846461538*(0.3)</f>
        <v>4.8682453938461538E-2</v>
      </c>
      <c r="N326">
        <f>0.147522587692308*(0.3)</f>
        <v>4.4256776307692307E-2</v>
      </c>
    </row>
    <row r="327" spans="1:14" x14ac:dyDescent="0.25">
      <c r="A327">
        <f>-5.488106142*(0.3)</f>
        <v>-1.6464318426</v>
      </c>
      <c r="B327">
        <f>0.422162010923077*(0.3)</f>
        <v>0.12664860327692307</v>
      </c>
      <c r="C327">
        <f>1.26648603276923*(0.3)</f>
        <v>0.37994580983076925</v>
      </c>
      <c r="D327">
        <f>0.422162010923077*(0.3)</f>
        <v>0.12664860327692307</v>
      </c>
      <c r="E327">
        <f>0.422162010923077*(0.3)</f>
        <v>0.12664860327692307</v>
      </c>
      <c r="F327">
        <f>0.422162010923077*(0.3)</f>
        <v>0.12664860327692307</v>
      </c>
      <c r="G327">
        <f>0.253297206553846*(0.3)</f>
        <v>7.5989161966153837E-2</v>
      </c>
      <c r="H327">
        <f>0.422162010923077*(0.3)</f>
        <v>0.12664860327692307</v>
      </c>
      <c r="I327">
        <f>0.422162010923077*(0.3)</f>
        <v>0.12664860327692307</v>
      </c>
      <c r="J327">
        <f>-0.0844324021846154*(0.3)</f>
        <v>-2.5329720655384611E-2</v>
      </c>
      <c r="K327">
        <f>0.422162010923077*(0.3)</f>
        <v>0.12664860327692307</v>
      </c>
      <c r="L327">
        <f>0.206859385352308*(0.3)</f>
        <v>6.2057815605692304E-2</v>
      </c>
      <c r="M327">
        <f>0.464378212015385*(0.3)</f>
        <v>0.13931346360461538</v>
      </c>
      <c r="N327">
        <f>0.422162010923077*(0.3)</f>
        <v>0.12664860327692307</v>
      </c>
    </row>
    <row r="328" spans="1:14" x14ac:dyDescent="0.25">
      <c r="A328">
        <f>-0.297703058*(0.3)</f>
        <v>-8.9310917400000009E-2</v>
      </c>
      <c r="B328">
        <f>0.0229002352307692*(0.3)</f>
        <v>6.8700705692307691E-3</v>
      </c>
      <c r="C328">
        <f>0.0687007056923077*(0.3)</f>
        <v>2.0610211707692307E-2</v>
      </c>
      <c r="D328">
        <f>0.0229002352307692*(0.3)</f>
        <v>6.8700705692307691E-3</v>
      </c>
      <c r="E328">
        <f>0.0229002352307692*(0.3)</f>
        <v>6.8700705692307691E-3</v>
      </c>
      <c r="F328">
        <f>0.0229002352307692*(0.3)</f>
        <v>6.8700705692307691E-3</v>
      </c>
      <c r="G328">
        <f>0.0137401411384615*(0.3)</f>
        <v>4.1220423415384609E-3</v>
      </c>
      <c r="H328">
        <f>0.0229002352307692*(0.3)</f>
        <v>6.8700705692307691E-3</v>
      </c>
      <c r="I328">
        <f>0.0229002352307692*(0.3)</f>
        <v>6.8700705692307691E-3</v>
      </c>
      <c r="J328">
        <f>-0.00458004704615384*(0.3)</f>
        <v>-1.3740141138461534E-3</v>
      </c>
      <c r="K328">
        <f>0.0229002352307692*(0.3)</f>
        <v>6.8700705692307691E-3</v>
      </c>
      <c r="L328">
        <f>0.0112211152630769*(0.3)</f>
        <v>3.3663345789230769E-3</v>
      </c>
      <c r="M328">
        <f>0.0251902587538462*(0.3)</f>
        <v>7.5570776261538464E-3</v>
      </c>
      <c r="N328">
        <f>0.0229002352307692*(0.3)</f>
        <v>6.8700705692307691E-3</v>
      </c>
    </row>
    <row r="329" spans="1:14" x14ac:dyDescent="0.25">
      <c r="A329">
        <f>-4.440341569*(0.3)</f>
        <v>-1.3321024707</v>
      </c>
      <c r="B329">
        <f>0.341564736076923*(0.3)</f>
        <v>0.10246942082307692</v>
      </c>
      <c r="C329">
        <f>1.02469420823077*(0.3)</f>
        <v>0.30740826246923075</v>
      </c>
      <c r="D329">
        <f>0.341564736076923*(0.3)</f>
        <v>0.10246942082307692</v>
      </c>
      <c r="E329">
        <f>0.341564736076923*(0.3)</f>
        <v>0.10246942082307692</v>
      </c>
      <c r="F329">
        <f>0.341564736076923*(0.3)</f>
        <v>0.10246942082307692</v>
      </c>
      <c r="G329">
        <f>0.204938841646154*(0.3)</f>
        <v>6.1481652493846149E-2</v>
      </c>
      <c r="H329">
        <f>0.341564736076923*(0.3)</f>
        <v>0.10246942082307692</v>
      </c>
      <c r="I329">
        <f>0.341564736076923*(0.3)</f>
        <v>0.10246942082307692</v>
      </c>
      <c r="J329">
        <f>-0.0683129472153846*(0.3)</f>
        <v>-2.0493884164615377E-2</v>
      </c>
      <c r="K329">
        <f>0.341564736076923*(0.3)</f>
        <v>0.10246942082307692</v>
      </c>
      <c r="L329">
        <f>0.167366720677692*(0.3)</f>
        <v>5.0210016203307686E-2</v>
      </c>
      <c r="M329">
        <f>0.375721209684615*(0.3)</f>
        <v>0.11271636290538462</v>
      </c>
      <c r="N329">
        <f>0.341564736076923*(0.3)</f>
        <v>0.10246942082307692</v>
      </c>
    </row>
    <row r="330" spans="1:14" x14ac:dyDescent="0.25">
      <c r="A330">
        <f>-0.788258842*(0.3)</f>
        <v>-0.23647765259999998</v>
      </c>
      <c r="B330">
        <f>0.0606352955384615*(0.3)</f>
        <v>1.819058866153846E-2</v>
      </c>
      <c r="C330">
        <f>0.181905886615385*(0.3)</f>
        <v>5.4571765984615384E-2</v>
      </c>
      <c r="D330">
        <f>0.0606352955384615*(0.3)</f>
        <v>1.819058866153846E-2</v>
      </c>
      <c r="E330">
        <f>0.0606352955384615*(0.3)</f>
        <v>1.819058866153846E-2</v>
      </c>
      <c r="F330">
        <f>0.0606352955384615*(0.3)</f>
        <v>1.819058866153846E-2</v>
      </c>
      <c r="G330">
        <f>0.0363811773230769*(0.3)</f>
        <v>1.0914353196923075E-2</v>
      </c>
      <c r="H330">
        <f>0.0606352955384615*(0.3)</f>
        <v>1.819058866153846E-2</v>
      </c>
      <c r="I330">
        <f>0.0606352955384615*(0.3)</f>
        <v>1.819058866153846E-2</v>
      </c>
      <c r="J330">
        <f>-0.0121270591076923*(0.3)</f>
        <v>-3.6381177323076917E-3</v>
      </c>
      <c r="K330">
        <f>0.0606352955384615*(0.3)</f>
        <v>1.819058866153846E-2</v>
      </c>
      <c r="L330">
        <f>0.0297112948138462*(0.3)</f>
        <v>8.9133884441538452E-3</v>
      </c>
      <c r="M330">
        <f>0.0666988250923077*(0.3)</f>
        <v>2.0009647527692308E-2</v>
      </c>
      <c r="N330">
        <f>0.0606352955384615*(0.3)</f>
        <v>1.819058866153846E-2</v>
      </c>
    </row>
    <row r="331" spans="1:14" x14ac:dyDescent="0.25">
      <c r="A331">
        <f>-6.227304868*(0.3)</f>
        <v>-1.8681914603999998</v>
      </c>
      <c r="B331">
        <f>0.479023451384615*(0.3)</f>
        <v>0.1437070354153846</v>
      </c>
      <c r="C331">
        <f>1.43707035415385*(0.3)</f>
        <v>0.4311211062461538</v>
      </c>
      <c r="D331">
        <f>0.479023451384615*(0.3)</f>
        <v>0.1437070354153846</v>
      </c>
      <c r="E331">
        <f>0.479023451384615*(0.3)</f>
        <v>0.1437070354153846</v>
      </c>
      <c r="F331">
        <f>0.479023451384615*(0.3)</f>
        <v>0.1437070354153846</v>
      </c>
      <c r="G331">
        <f>0.287414070830769*(0.3)</f>
        <v>8.6224221249230751E-2</v>
      </c>
      <c r="H331">
        <f>0.479023451384615*(0.3)</f>
        <v>0.1437070354153846</v>
      </c>
      <c r="I331">
        <f>0.479023451384615*(0.3)</f>
        <v>0.1437070354153846</v>
      </c>
      <c r="J331">
        <f>-0.0958046902769231*(0.3)</f>
        <v>-2.8741407083076913E-2</v>
      </c>
      <c r="K331">
        <f>0.479023451384615*(0.3)</f>
        <v>0.1437070354153846</v>
      </c>
      <c r="L331">
        <f>0.234721491178462*(0.3)</f>
        <v>7.0416447353538456E-2</v>
      </c>
      <c r="M331">
        <f>0.526925796523077*(0.3)</f>
        <v>0.15807773895692306</v>
      </c>
      <c r="N331">
        <f>0.479023451384615*(0.3)</f>
        <v>0.1437070354153846</v>
      </c>
    </row>
    <row r="332" spans="1:14" x14ac:dyDescent="0.25">
      <c r="A332">
        <f>1.141698075*(0.3)</f>
        <v>0.34250942249999999</v>
      </c>
      <c r="B332">
        <f>-0.0878229288461538*(0.3)</f>
        <v>-2.6346878653846155E-2</v>
      </c>
      <c r="C332">
        <f>-0.263468786538462*(0.3)</f>
        <v>-7.9040635961538472E-2</v>
      </c>
      <c r="D332">
        <f>-0.0878229288461538*(0.3)</f>
        <v>-2.6346878653846155E-2</v>
      </c>
      <c r="E332">
        <f>-0.0878229288461538*(0.3)</f>
        <v>-2.6346878653846155E-2</v>
      </c>
      <c r="F332">
        <f>-0.0878229288461538*(0.3)</f>
        <v>-2.6346878653846155E-2</v>
      </c>
      <c r="G332">
        <f>-0.0526937573076923*(0.3)</f>
        <v>-1.5808127192307692E-2</v>
      </c>
      <c r="H332">
        <f>-0.0878229288461538*(0.3)</f>
        <v>-2.6346878653846155E-2</v>
      </c>
      <c r="I332">
        <f>-0.0878229288461538*(0.3)</f>
        <v>-2.6346878653846155E-2</v>
      </c>
      <c r="J332">
        <f>0.0175645857692308*(0.3)</f>
        <v>5.2693757307692296E-3</v>
      </c>
      <c r="K332">
        <f>-0.0878229288461538*(0.3)</f>
        <v>-2.6346878653846155E-2</v>
      </c>
      <c r="L332">
        <f>-0.0430332351346154*(0.3)</f>
        <v>-1.2909970540384615E-2</v>
      </c>
      <c r="M332">
        <f>-0.0966052217307692*(0.3)</f>
        <v>-2.898156651923077E-2</v>
      </c>
      <c r="N332">
        <f>-0.0878229288461538*(0.3)</f>
        <v>-2.6346878653846155E-2</v>
      </c>
    </row>
    <row r="333" spans="1:14" x14ac:dyDescent="0.25">
      <c r="A333">
        <f>-7.360007956*(0.3)</f>
        <v>-2.2080023867999996</v>
      </c>
      <c r="B333">
        <f>0.566154458153846*(0.3)</f>
        <v>0.16984633744615382</v>
      </c>
      <c r="C333">
        <f>1.69846337446154*(0.3)</f>
        <v>0.50953901233846155</v>
      </c>
      <c r="D333">
        <f>0.566154458153846*(0.3)</f>
        <v>0.16984633744615382</v>
      </c>
      <c r="E333">
        <f>0.566154458153846*(0.3)</f>
        <v>0.16984633744615382</v>
      </c>
      <c r="F333">
        <f>0.566154458153846*(0.3)</f>
        <v>0.16984633744615382</v>
      </c>
      <c r="G333">
        <f>0.339692674892308*(0.3)</f>
        <v>0.10190780246769229</v>
      </c>
      <c r="H333">
        <f>0.566154458153846*(0.3)</f>
        <v>0.16984633744615382</v>
      </c>
      <c r="I333">
        <f>0.566154458153846*(0.3)</f>
        <v>0.16984633744615382</v>
      </c>
      <c r="J333">
        <f>-0.113230891630769*(0.3)</f>
        <v>-3.3969267489230758E-2</v>
      </c>
      <c r="K333">
        <f>0.566154458153846*(0.3)</f>
        <v>0.16984633744615382</v>
      </c>
      <c r="L333">
        <f>0.277415684495385*(0.3)</f>
        <v>8.3224705348615383E-2</v>
      </c>
      <c r="M333">
        <f>0.622769903969231*(0.3)</f>
        <v>0.18683097119076925</v>
      </c>
      <c r="N333">
        <f>0.566154458153846*(0.3)</f>
        <v>0.16984633744615382</v>
      </c>
    </row>
    <row r="334" spans="1:14" x14ac:dyDescent="0.25">
      <c r="A334">
        <f>0.990113085*(0.3)</f>
        <v>0.29703392549999996</v>
      </c>
      <c r="B334">
        <f>-0.076162545*(0.3)</f>
        <v>-2.2848763499999997E-2</v>
      </c>
      <c r="C334">
        <f>-0.228487635*(0.3)</f>
        <v>-6.8546290499999996E-2</v>
      </c>
      <c r="D334">
        <f>-0.076162545*(0.3)</f>
        <v>-2.2848763499999997E-2</v>
      </c>
      <c r="E334">
        <f>-0.076162545*(0.3)</f>
        <v>-2.2848763499999997E-2</v>
      </c>
      <c r="F334">
        <f>-0.076162545*(0.3)</f>
        <v>-2.2848763499999997E-2</v>
      </c>
      <c r="G334">
        <f>-0.045697527*(0.3)</f>
        <v>-1.3709258099999998E-2</v>
      </c>
      <c r="H334">
        <f>-0.076162545*(0.3)</f>
        <v>-2.2848763499999997E-2</v>
      </c>
      <c r="I334">
        <f>-0.076162545*(0.3)</f>
        <v>-2.2848763499999997E-2</v>
      </c>
      <c r="J334">
        <f>0.015232509*(0.3)</f>
        <v>4.5697526999999988E-3</v>
      </c>
      <c r="K334">
        <f>-0.076162545*(0.3)</f>
        <v>-2.2848763499999997E-2</v>
      </c>
      <c r="L334">
        <f>-0.03731964705*(0.3)</f>
        <v>-1.1195894115E-2</v>
      </c>
      <c r="M334">
        <f>-0.0837787995*(0.3)</f>
        <v>-2.513363985E-2</v>
      </c>
      <c r="N334">
        <f>-0.076162545*(0.3)</f>
        <v>-2.2848763499999997E-2</v>
      </c>
    </row>
    <row r="335" spans="1:14" x14ac:dyDescent="0.25">
      <c r="A335">
        <f>-9.972601117*(0.3)</f>
        <v>-2.9917803351000001</v>
      </c>
      <c r="B335">
        <f>0.767123162846154*(0.3)</f>
        <v>0.23013694885384617</v>
      </c>
      <c r="C335">
        <f>2.30136948853846*(0.3)</f>
        <v>0.69041084656153839</v>
      </c>
      <c r="D335">
        <f>0.767123162846154*(0.3)</f>
        <v>0.23013694885384617</v>
      </c>
      <c r="E335">
        <f>0.767123162846154*(0.3)</f>
        <v>0.23013694885384617</v>
      </c>
      <c r="F335">
        <f>0.767123162846154*(0.3)</f>
        <v>0.23013694885384617</v>
      </c>
      <c r="G335">
        <f>0.460273897707692*(0.3)</f>
        <v>0.13808216931230768</v>
      </c>
      <c r="H335">
        <f>0.767123162846154*(0.3)</f>
        <v>0.23013694885384617</v>
      </c>
      <c r="I335">
        <f>0.767123162846154*(0.3)</f>
        <v>0.23013694885384617</v>
      </c>
      <c r="J335">
        <f>-0.153424632569231*(0.3)</f>
        <v>-4.6027389770769221E-2</v>
      </c>
      <c r="K335">
        <f>0.767123162846154*(0.3)</f>
        <v>0.23013694885384617</v>
      </c>
      <c r="L335">
        <f>0.375890349794615*(0.3)</f>
        <v>0.11276710493838461</v>
      </c>
      <c r="M335">
        <f>0.843835479130769*(0.3)</f>
        <v>0.2531506437392308</v>
      </c>
      <c r="N335">
        <f>0.767123162846154*(0.3)</f>
        <v>0.23013694885384617</v>
      </c>
    </row>
    <row r="336" spans="1:14" x14ac:dyDescent="0.25">
      <c r="A336">
        <f>1.864671164*(0.3)</f>
        <v>0.55940134919999995</v>
      </c>
      <c r="B336">
        <f>-0.143436243384615*(0.3)</f>
        <v>-4.3030873015384614E-2</v>
      </c>
      <c r="C336">
        <f>-0.430308730153846*(0.3)</f>
        <v>-0.12909261904615385</v>
      </c>
      <c r="D336">
        <f>-0.143436243384615*(0.3)</f>
        <v>-4.3030873015384614E-2</v>
      </c>
      <c r="E336">
        <f>-0.143436243384615*(0.3)</f>
        <v>-4.3030873015384614E-2</v>
      </c>
      <c r="F336">
        <f>-0.143436243384615*(0.3)</f>
        <v>-4.3030873015384614E-2</v>
      </c>
      <c r="G336">
        <f>-0.0860617460307692*(0.3)</f>
        <v>-2.5818523809230769E-2</v>
      </c>
      <c r="H336">
        <f>-0.143436243384615*(0.3)</f>
        <v>-4.3030873015384614E-2</v>
      </c>
      <c r="I336">
        <f>-0.143436243384615*(0.3)</f>
        <v>-4.3030873015384614E-2</v>
      </c>
      <c r="J336">
        <f>0.0286872486769231*(0.3)</f>
        <v>8.6061746030769212E-3</v>
      </c>
      <c r="K336">
        <f>-0.143436243384615*(0.3)</f>
        <v>-4.3030873015384614E-2</v>
      </c>
      <c r="L336">
        <f>-0.0702837592584615*(0.3)</f>
        <v>-2.1085127777538459E-2</v>
      </c>
      <c r="M336">
        <f>-0.157779867723077*(0.3)</f>
        <v>-4.7333960316923086E-2</v>
      </c>
      <c r="N336">
        <f>-0.143436243384615*(0.3)</f>
        <v>-4.3030873015384614E-2</v>
      </c>
    </row>
    <row r="337" spans="1:14" x14ac:dyDescent="0.25">
      <c r="A337">
        <f>-4.665245408*(0.3)</f>
        <v>-1.3995736223999999</v>
      </c>
      <c r="B337">
        <f>0.358865031384615*(0.3)</f>
        <v>0.1076595094153846</v>
      </c>
      <c r="C337">
        <f>1.07659509415385*(0.3)</f>
        <v>0.32297852824615381</v>
      </c>
      <c r="D337">
        <f>0.358865031384615*(0.3)</f>
        <v>0.1076595094153846</v>
      </c>
      <c r="E337">
        <f>0.358865031384615*(0.3)</f>
        <v>0.1076595094153846</v>
      </c>
      <c r="F337">
        <f>0.358865031384615*(0.3)</f>
        <v>0.1076595094153846</v>
      </c>
      <c r="G337">
        <f>0.215319018830769*(0.3)</f>
        <v>6.4595705649230756E-2</v>
      </c>
      <c r="H337">
        <f>0.358865031384615*(0.3)</f>
        <v>0.1076595094153846</v>
      </c>
      <c r="I337">
        <f>0.358865031384615*(0.3)</f>
        <v>0.1076595094153846</v>
      </c>
      <c r="J337">
        <f>-0.0717730062769231*(0.3)</f>
        <v>-2.1531901883076916E-2</v>
      </c>
      <c r="K337">
        <f>0.358865031384615*(0.3)</f>
        <v>0.1076595094153846</v>
      </c>
      <c r="L337">
        <f>0.175843865378462*(0.3)</f>
        <v>5.275315961353845E-2</v>
      </c>
      <c r="M337">
        <f>0.394751534523077*(0.3)</f>
        <v>0.11842546035692307</v>
      </c>
      <c r="N337">
        <f>0.358865031384615*(0.3)</f>
        <v>0.1076595094153846</v>
      </c>
    </row>
    <row r="338" spans="1:14" x14ac:dyDescent="0.25">
      <c r="A338">
        <f>4.426487191*(0.3)</f>
        <v>1.3279461572999998</v>
      </c>
      <c r="B338">
        <f>-0.340499014692308*(0.3)</f>
        <v>-0.10214970440769229</v>
      </c>
      <c r="C338">
        <f>-1.02149704407692*(0.3)</f>
        <v>-0.30644911322307683</v>
      </c>
      <c r="D338">
        <f>-0.340499014692308*(0.3)</f>
        <v>-0.10214970440769229</v>
      </c>
      <c r="E338">
        <f>-0.340499014692308*(0.3)</f>
        <v>-0.10214970440769229</v>
      </c>
      <c r="F338">
        <f>-0.340499014692308*(0.3)</f>
        <v>-0.10214970440769229</v>
      </c>
      <c r="G338">
        <f>-0.204299408815385*(0.3)</f>
        <v>-6.1289822644615369E-2</v>
      </c>
      <c r="H338">
        <f>-0.340499014692308*(0.3)</f>
        <v>-0.10214970440769229</v>
      </c>
      <c r="I338">
        <f>-0.340499014692308*(0.3)</f>
        <v>-0.10214970440769229</v>
      </c>
      <c r="J338">
        <f>0.0680998029384615*(0.3)</f>
        <v>2.0429940881538454E-2</v>
      </c>
      <c r="K338">
        <f>-0.340499014692308*(0.3)</f>
        <v>-0.10214970440769229</v>
      </c>
      <c r="L338">
        <f>-0.166844517199231*(0.3)</f>
        <v>-5.0053355159769219E-2</v>
      </c>
      <c r="M338">
        <f>-0.374548916161538*(0.3)</f>
        <v>-0.11236467484846153</v>
      </c>
      <c r="N338">
        <f>-0.340499014692308*(0.3)</f>
        <v>-0.10214970440769229</v>
      </c>
    </row>
    <row r="339" spans="1:14" x14ac:dyDescent="0.25">
      <c r="A339">
        <f>-5.190278675*(0.3)</f>
        <v>-1.5570836024999999</v>
      </c>
      <c r="B339">
        <f>0.399252205769231*(0.3)</f>
        <v>0.11977566173076923</v>
      </c>
      <c r="C339">
        <f>1.19775661730769*(0.3)</f>
        <v>0.35932698519230771</v>
      </c>
      <c r="D339">
        <f>0.399252205769231*(0.3)</f>
        <v>0.11977566173076923</v>
      </c>
      <c r="E339">
        <f>0.399252205769231*(0.3)</f>
        <v>0.11977566173076923</v>
      </c>
      <c r="F339">
        <f>0.399252205769231*(0.3)</f>
        <v>0.11977566173076923</v>
      </c>
      <c r="G339">
        <f>0.239551323461538*(0.3)</f>
        <v>7.1865397038461537E-2</v>
      </c>
      <c r="H339">
        <f>0.399252205769231*(0.3)</f>
        <v>0.11977566173076923</v>
      </c>
      <c r="I339">
        <f>0.399252205769231*(0.3)</f>
        <v>0.11977566173076923</v>
      </c>
      <c r="J339">
        <f>-0.0798504411538461*(0.3)</f>
        <v>-2.3955132346153842E-2</v>
      </c>
      <c r="K339">
        <f>0.399252205769231*(0.3)</f>
        <v>0.11977566173076923</v>
      </c>
      <c r="L339">
        <f>0.195633580826923*(0.3)</f>
        <v>5.8690074248076915E-2</v>
      </c>
      <c r="M339">
        <f>0.439177426346154*(0.3)</f>
        <v>0.13175322790384617</v>
      </c>
      <c r="N339">
        <f>0.399252205769231*(0.3)</f>
        <v>0.11977566173076923</v>
      </c>
    </row>
    <row r="340" spans="1:14" x14ac:dyDescent="0.25">
      <c r="A340">
        <f>-0.684984313*(0.3)</f>
        <v>-0.20549529389999999</v>
      </c>
      <c r="B340">
        <f>0.052691101*(0.3)</f>
        <v>1.5807330299999998E-2</v>
      </c>
      <c r="C340">
        <f>0.158073303*(0.3)</f>
        <v>4.7421990899999995E-2</v>
      </c>
      <c r="D340">
        <f>0.052691101*(0.3)</f>
        <v>1.5807330299999998E-2</v>
      </c>
      <c r="E340">
        <f>0.052691101*(0.3)</f>
        <v>1.5807330299999998E-2</v>
      </c>
      <c r="F340">
        <f>0.052691101*(0.3)</f>
        <v>1.5807330299999998E-2</v>
      </c>
      <c r="G340">
        <f>0.0316146606*(0.3)</f>
        <v>9.4843981799999991E-3</v>
      </c>
      <c r="H340">
        <f>0.052691101*(0.3)</f>
        <v>1.5807330299999998E-2</v>
      </c>
      <c r="I340">
        <f>0.052691101*(0.3)</f>
        <v>1.5807330299999998E-2</v>
      </c>
      <c r="J340">
        <f>-0.0105382202*(0.3)</f>
        <v>-3.1614660599999988E-3</v>
      </c>
      <c r="K340">
        <f>0.052691101*(0.3)</f>
        <v>1.5807330299999998E-2</v>
      </c>
      <c r="L340">
        <f>0.02581863949*(0.3)</f>
        <v>7.7455918469999992E-3</v>
      </c>
      <c r="M340">
        <f>0.0579602111*(0.3)</f>
        <v>1.7388063329999998E-2</v>
      </c>
      <c r="N340">
        <f>0.052691101*(0.3)</f>
        <v>1.5807330299999998E-2</v>
      </c>
    </row>
    <row r="341" spans="1:14" x14ac:dyDescent="0.25">
      <c r="A341">
        <f>-6.437556005*(0.3)</f>
        <v>-1.9312668015000001</v>
      </c>
      <c r="B341">
        <f>0.495196615769231*(0.3)</f>
        <v>0.14855898473076923</v>
      </c>
      <c r="C341">
        <f>1.48558984730769*(0.3)</f>
        <v>0.44567695419230774</v>
      </c>
      <c r="D341">
        <f>0.495196615769231*(0.3)</f>
        <v>0.14855898473076923</v>
      </c>
      <c r="E341">
        <f>0.495196615769231*(0.3)</f>
        <v>0.14855898473076923</v>
      </c>
      <c r="F341">
        <f>0.495196615769231*(0.3)</f>
        <v>0.14855898473076923</v>
      </c>
      <c r="G341">
        <f>0.297117969461538*(0.3)</f>
        <v>8.9135390838461531E-2</v>
      </c>
      <c r="H341">
        <f>0.495196615769231*(0.3)</f>
        <v>0.14855898473076923</v>
      </c>
      <c r="I341">
        <f>0.495196615769231*(0.3)</f>
        <v>0.14855898473076923</v>
      </c>
      <c r="J341">
        <f>-0.0990393231538461*(0.3)</f>
        <v>-2.9711796946153841E-2</v>
      </c>
      <c r="K341">
        <f>0.495196615769231*(0.3)</f>
        <v>0.14855898473076923</v>
      </c>
      <c r="L341">
        <f>0.242646341726923*(0.3)</f>
        <v>7.2793902518076922E-2</v>
      </c>
      <c r="M341">
        <f>0.544716277346154*(0.3)</f>
        <v>0.16341488320384617</v>
      </c>
      <c r="N341">
        <f>0.495196615769231*(0.3)</f>
        <v>0.14855898473076923</v>
      </c>
    </row>
    <row r="342" spans="1:14" x14ac:dyDescent="0.25">
      <c r="A342">
        <f>0.87967738*(0.3)</f>
        <v>0.263903214</v>
      </c>
      <c r="B342">
        <f>-0.0676674907692308*(0.3)</f>
        <v>-2.0300247230769227E-2</v>
      </c>
      <c r="C342">
        <f>-0.203002472307692*(0.3)</f>
        <v>-6.0900741692307678E-2</v>
      </c>
      <c r="D342">
        <f>-0.0676674907692308*(0.3)</f>
        <v>-2.0300247230769227E-2</v>
      </c>
      <c r="E342">
        <f>-0.0676674907692308*(0.3)</f>
        <v>-2.0300247230769227E-2</v>
      </c>
      <c r="F342">
        <f>-0.0676674907692308*(0.3)</f>
        <v>-2.0300247230769227E-2</v>
      </c>
      <c r="G342">
        <f>-0.0406004944615385*(0.3)</f>
        <v>-1.2180148338461537E-2</v>
      </c>
      <c r="H342">
        <f>-0.0676674907692308*(0.3)</f>
        <v>-2.0300247230769227E-2</v>
      </c>
      <c r="I342">
        <f>-0.0676674907692308*(0.3)</f>
        <v>-2.0300247230769227E-2</v>
      </c>
      <c r="J342">
        <f>0.0135334981538461*(0.3)</f>
        <v>4.0600494461538444E-3</v>
      </c>
      <c r="K342">
        <f>-0.0676674907692308*(0.3)</f>
        <v>-2.0300247230769227E-2</v>
      </c>
      <c r="L342">
        <f>-0.0331570704769231*(0.3)</f>
        <v>-9.9471211430769216E-3</v>
      </c>
      <c r="M342">
        <f>-0.0744342398461538*(0.3)</f>
        <v>-2.233027195384615E-2</v>
      </c>
      <c r="N342">
        <f>-0.0676674907692308*(0.3)</f>
        <v>-2.0300247230769227E-2</v>
      </c>
    </row>
    <row r="343" spans="1:14" x14ac:dyDescent="0.25">
      <c r="A343">
        <f>-6.490071754*(0.3)</f>
        <v>-1.9470215261999999</v>
      </c>
      <c r="B343">
        <f>0.499236288769231*(0.3)</f>
        <v>0.14977088663076923</v>
      </c>
      <c r="C343">
        <f>1.49770886630769*(0.3)</f>
        <v>0.44931265989230768</v>
      </c>
      <c r="D343">
        <f>0.499236288769231*(0.3)</f>
        <v>0.14977088663076923</v>
      </c>
      <c r="E343">
        <f>0.499236288769231*(0.3)</f>
        <v>0.14977088663076923</v>
      </c>
      <c r="F343">
        <f>0.499236288769231*(0.3)</f>
        <v>0.14977088663076923</v>
      </c>
      <c r="G343">
        <f>0.299541773261538*(0.3)</f>
        <v>8.9862531978461543E-2</v>
      </c>
      <c r="H343">
        <f>0.499236288769231*(0.3)</f>
        <v>0.14977088663076923</v>
      </c>
      <c r="I343">
        <f>0.499236288769231*(0.3)</f>
        <v>0.14977088663076923</v>
      </c>
      <c r="J343">
        <f>-0.0998472577538461*(0.3)</f>
        <v>-2.9954177326153839E-2</v>
      </c>
      <c r="K343">
        <f>0.499236288769231*(0.3)</f>
        <v>0.14977088663076923</v>
      </c>
      <c r="L343">
        <f>0.244625781496923*(0.3)</f>
        <v>7.3387734449076925E-2</v>
      </c>
      <c r="M343">
        <f>0.549159917646154*(0.3)</f>
        <v>0.16474797529384616</v>
      </c>
      <c r="N343">
        <f>0.499236288769231*(0.3)</f>
        <v>0.14977088663076923</v>
      </c>
    </row>
    <row r="344" spans="1:14" x14ac:dyDescent="0.25">
      <c r="A344">
        <f>-0.540967991*(0.3)</f>
        <v>-0.1622903973</v>
      </c>
      <c r="B344">
        <f>0.0416129223846154*(0.3)</f>
        <v>1.2483876715384616E-2</v>
      </c>
      <c r="C344">
        <f>0.124838767153846*(0.3)</f>
        <v>3.7451630146153846E-2</v>
      </c>
      <c r="D344">
        <f>0.0416129223846154*(0.3)</f>
        <v>1.2483876715384616E-2</v>
      </c>
      <c r="E344">
        <f>0.0416129223846154*(0.3)</f>
        <v>1.2483876715384616E-2</v>
      </c>
      <c r="F344">
        <f>0.0416129223846154*(0.3)</f>
        <v>1.2483876715384616E-2</v>
      </c>
      <c r="G344">
        <f>0.0249677534307692*(0.3)</f>
        <v>7.4903260292307691E-3</v>
      </c>
      <c r="H344">
        <f>0.0416129223846154*(0.3)</f>
        <v>1.2483876715384616E-2</v>
      </c>
      <c r="I344">
        <f>0.0416129223846154*(0.3)</f>
        <v>1.2483876715384616E-2</v>
      </c>
      <c r="J344">
        <f>-0.00832258447692307*(0.3)</f>
        <v>-2.4967753430769225E-3</v>
      </c>
      <c r="K344">
        <f>0.0416129223846154*(0.3)</f>
        <v>1.2483876715384616E-2</v>
      </c>
      <c r="L344">
        <f>0.0203903319684615*(0.3)</f>
        <v>6.117099590538461E-3</v>
      </c>
      <c r="M344">
        <f>0.0457742146230769*(0.3)</f>
        <v>1.3732264386923076E-2</v>
      </c>
      <c r="N344">
        <f>0.0416129223846154*(0.3)</f>
        <v>1.2483876715384616E-2</v>
      </c>
    </row>
    <row r="345" spans="1:14" x14ac:dyDescent="0.25">
      <c r="A345">
        <f>-8.692126539*(0.3)</f>
        <v>-2.6076379617000001</v>
      </c>
      <c r="B345">
        <f>0.668625118384615*(0.3)</f>
        <v>0.20058753551538461</v>
      </c>
      <c r="C345">
        <f>2.00587535515385*(0.3)</f>
        <v>0.60176260654615377</v>
      </c>
      <c r="D345">
        <f>0.668625118384615*(0.3)</f>
        <v>0.20058753551538461</v>
      </c>
      <c r="E345">
        <f>0.668625118384615*(0.3)</f>
        <v>0.20058753551538461</v>
      </c>
      <c r="F345">
        <f>0.668625118384615*(0.3)</f>
        <v>0.20058753551538461</v>
      </c>
      <c r="G345">
        <f>0.401175071030769*(0.3)</f>
        <v>0.12035252130923076</v>
      </c>
      <c r="H345">
        <f>0.668625118384615*(0.3)</f>
        <v>0.20058753551538461</v>
      </c>
      <c r="I345">
        <f>0.668625118384615*(0.3)</f>
        <v>0.20058753551538461</v>
      </c>
      <c r="J345">
        <f>-0.133725023676923*(0.3)</f>
        <v>-4.0117507103076912E-2</v>
      </c>
      <c r="K345">
        <f>0.668625118384615*(0.3)</f>
        <v>0.20058753551538461</v>
      </c>
      <c r="L345">
        <f>0.327626308008462*(0.3)</f>
        <v>9.8287892402538463E-2</v>
      </c>
      <c r="M345">
        <f>0.735487630223077*(0.3)</f>
        <v>0.22064628906692307</v>
      </c>
      <c r="N345">
        <f>0.668625118384615*(0.3)</f>
        <v>0.20058753551538461</v>
      </c>
    </row>
    <row r="346" spans="1:14" x14ac:dyDescent="0.25">
      <c r="A346">
        <f>0.335757729*(0.3)</f>
        <v>0.1007273187</v>
      </c>
      <c r="B346">
        <f>-0.0258275176153846*(0.3)</f>
        <v>-7.7482552846153841E-3</v>
      </c>
      <c r="C346">
        <f>-0.0774825528461539*(0.3)</f>
        <v>-2.3244765853846154E-2</v>
      </c>
      <c r="D346">
        <f>-0.0258275176153846*(0.3)</f>
        <v>-7.7482552846153841E-3</v>
      </c>
      <c r="E346">
        <f>-0.0258275176153846*(0.3)</f>
        <v>-7.7482552846153841E-3</v>
      </c>
      <c r="F346">
        <f>-0.0258275176153846*(0.3)</f>
        <v>-7.7482552846153841E-3</v>
      </c>
      <c r="G346">
        <f>-0.0154965105692308*(0.3)</f>
        <v>-4.6489531707692303E-3</v>
      </c>
      <c r="H346">
        <f>-0.0258275176153846*(0.3)</f>
        <v>-7.7482552846153841E-3</v>
      </c>
      <c r="I346">
        <f>-0.0258275176153846*(0.3)</f>
        <v>-7.7482552846153841E-3</v>
      </c>
      <c r="J346">
        <f>0.00516550352307692*(0.3)</f>
        <v>1.5496510569230767E-3</v>
      </c>
      <c r="K346">
        <f>-0.0258275176153846*(0.3)</f>
        <v>-7.7482552846153841E-3</v>
      </c>
      <c r="L346">
        <f>-0.0126554836315385*(0.3)</f>
        <v>-3.796645089461538E-3</v>
      </c>
      <c r="M346">
        <f>-0.0284102693769231*(0.3)</f>
        <v>-8.5230808130769241E-3</v>
      </c>
      <c r="N346">
        <f>-0.0258275176153846*(0.3)</f>
        <v>-7.7482552846153841E-3</v>
      </c>
    </row>
    <row r="347" spans="1:14" x14ac:dyDescent="0.25">
      <c r="A347">
        <f>-10.29432977*(0.3)</f>
        <v>-3.0882989309999997</v>
      </c>
      <c r="B347">
        <f>0.791871520769231*(0.3)</f>
        <v>0.23756145623076921</v>
      </c>
      <c r="C347">
        <f>2.37561456230769*(0.3)</f>
        <v>0.71268436869230756</v>
      </c>
      <c r="D347">
        <f>0.791871520769231*(0.3)</f>
        <v>0.23756145623076921</v>
      </c>
      <c r="E347">
        <f>0.791871520769231*(0.3)</f>
        <v>0.23756145623076921</v>
      </c>
      <c r="F347">
        <f>0.791871520769231*(0.3)</f>
        <v>0.23756145623076921</v>
      </c>
      <c r="G347">
        <f>0.475122912461538*(0.3)</f>
        <v>0.14253687373846152</v>
      </c>
      <c r="H347">
        <f>0.791871520769231*(0.3)</f>
        <v>0.23756145623076921</v>
      </c>
      <c r="I347">
        <f>0.791871520769231*(0.3)</f>
        <v>0.23756145623076921</v>
      </c>
      <c r="J347">
        <f>-0.158374304153846*(0.3)</f>
        <v>-4.7512291246153839E-2</v>
      </c>
      <c r="K347">
        <f>0.791871520769231*(0.3)</f>
        <v>0.23756145623076921</v>
      </c>
      <c r="L347">
        <f>0.388017045176923*(0.3)</f>
        <v>0.11640511355307691</v>
      </c>
      <c r="M347">
        <f>0.871058672846154*(0.3)</f>
        <v>0.26131760185384617</v>
      </c>
      <c r="N347">
        <f>0.791871520769231*(0.3)</f>
        <v>0.23756145623076921</v>
      </c>
    </row>
    <row r="348" spans="1:14" x14ac:dyDescent="0.25">
      <c r="A348">
        <f>0.7202637*(0.3)</f>
        <v>0.21607910999999999</v>
      </c>
      <c r="B348">
        <f>-0.0554049*(0.3)</f>
        <v>-1.6621469999999996E-2</v>
      </c>
      <c r="C348">
        <f>-0.1662147*(0.3)</f>
        <v>-4.9864409999999998E-2</v>
      </c>
      <c r="D348">
        <f>-0.0554049*(0.3)</f>
        <v>-1.6621469999999996E-2</v>
      </c>
      <c r="E348">
        <f>-0.0554049*(0.3)</f>
        <v>-1.6621469999999996E-2</v>
      </c>
      <c r="F348">
        <f>-0.0554049*(0.3)</f>
        <v>-1.6621469999999996E-2</v>
      </c>
      <c r="G348">
        <f>-0.03324294*(0.3)</f>
        <v>-9.9728819999999972E-3</v>
      </c>
      <c r="H348">
        <f>-0.0554049*(0.3)</f>
        <v>-1.6621469999999996E-2</v>
      </c>
      <c r="I348">
        <f>-0.0554049*(0.3)</f>
        <v>-1.6621469999999996E-2</v>
      </c>
      <c r="J348">
        <f>0.01108098*(0.3)</f>
        <v>3.3242939999999985E-3</v>
      </c>
      <c r="K348">
        <f>-0.0554049*(0.3)</f>
        <v>-1.6621469999999996E-2</v>
      </c>
      <c r="L348">
        <f>-0.027148401*(0.3)</f>
        <v>-8.1445202999999976E-3</v>
      </c>
      <c r="M348">
        <f>-0.06094539*(0.3)</f>
        <v>-1.8283616999999999E-2</v>
      </c>
      <c r="N348">
        <f>-0.0554049*(0.3)</f>
        <v>-1.6621469999999996E-2</v>
      </c>
    </row>
    <row r="349" spans="1:14" x14ac:dyDescent="0.25">
      <c r="A349">
        <f>-13.05246252*(0.3)</f>
        <v>-3.9157387560000001</v>
      </c>
      <c r="B349">
        <f>1.00403557846154*(0.3)</f>
        <v>0.30121067353846154</v>
      </c>
      <c r="C349">
        <f>3.01210673538462*(0.3)</f>
        <v>0.90363202061538461</v>
      </c>
      <c r="D349">
        <f>1.00403557846154*(0.3)</f>
        <v>0.30121067353846154</v>
      </c>
      <c r="E349">
        <f>1.00403557846154*(0.3)</f>
        <v>0.30121067353846154</v>
      </c>
      <c r="F349">
        <f>1.00403557846154*(0.3)</f>
        <v>0.30121067353846154</v>
      </c>
      <c r="G349">
        <f>0.602421347076923*(0.3)</f>
        <v>0.18072640412307692</v>
      </c>
      <c r="H349">
        <f>1.00403557846154*(0.3)</f>
        <v>0.30121067353846154</v>
      </c>
      <c r="I349">
        <f>1.00403557846154*(0.3)</f>
        <v>0.30121067353846154</v>
      </c>
      <c r="J349">
        <f>-0.200807115692308*(0.3)</f>
        <v>-6.0242134707692289E-2</v>
      </c>
      <c r="K349">
        <f>1.00403557846154*(0.3)</f>
        <v>0.30121067353846154</v>
      </c>
      <c r="L349">
        <f>0.491977433446154*(0.3)</f>
        <v>0.14759323003384614</v>
      </c>
      <c r="M349">
        <f>1.10443913630769*(0.3)</f>
        <v>0.33133174089230771</v>
      </c>
      <c r="N349">
        <f>1.00403557846154*(0.3)</f>
        <v>0.30121067353846154</v>
      </c>
    </row>
    <row r="350" spans="1:14" x14ac:dyDescent="0.25">
      <c r="A350">
        <f>0.368572668*(0.3)</f>
        <v>0.11057180039999999</v>
      </c>
      <c r="B350">
        <f>-0.0283517436923077*(0.3)</f>
        <v>-8.5055231076923074E-3</v>
      </c>
      <c r="C350">
        <f>-0.0850552310769231*(0.3)</f>
        <v>-2.5516569323076922E-2</v>
      </c>
      <c r="D350">
        <f>-0.0283517436923077*(0.3)</f>
        <v>-8.5055231076923074E-3</v>
      </c>
      <c r="E350">
        <f>-0.0283517436923077*(0.3)</f>
        <v>-8.5055231076923074E-3</v>
      </c>
      <c r="F350">
        <f>-0.0283517436923077*(0.3)</f>
        <v>-8.5055231076923074E-3</v>
      </c>
      <c r="G350">
        <f>-0.0170110462153846*(0.3)</f>
        <v>-5.1033138646153844E-3</v>
      </c>
      <c r="H350">
        <f>-0.0283517436923077*(0.3)</f>
        <v>-8.5055231076923074E-3</v>
      </c>
      <c r="I350">
        <f>-0.0283517436923077*(0.3)</f>
        <v>-8.5055231076923074E-3</v>
      </c>
      <c r="J350">
        <f>0.00567034873846154*(0.3)</f>
        <v>1.701104621538461E-3</v>
      </c>
      <c r="K350">
        <f>-0.0283517436923077*(0.3)</f>
        <v>-8.5055231076923074E-3</v>
      </c>
      <c r="L350">
        <f>-0.0138923544092308*(0.3)</f>
        <v>-4.1677063227692308E-3</v>
      </c>
      <c r="M350">
        <f>-0.0311869180615385*(0.3)</f>
        <v>-9.3560754184615381E-3</v>
      </c>
      <c r="N350">
        <f>-0.0283517436923077*(0.3)</f>
        <v>-8.5055231076923074E-3</v>
      </c>
    </row>
    <row r="351" spans="1:14" x14ac:dyDescent="0.25">
      <c r="A351">
        <f>-11.65877617*(0.3)</f>
        <v>-3.4976328509999997</v>
      </c>
      <c r="B351">
        <f>0.896828936153846*(0.3)</f>
        <v>0.2690486808461538</v>
      </c>
      <c r="C351">
        <f>2.69048680846154*(0.3)</f>
        <v>0.80714604253846145</v>
      </c>
      <c r="D351">
        <f>0.896828936153846*(0.3)</f>
        <v>0.2690486808461538</v>
      </c>
      <c r="E351">
        <f>0.896828936153846*(0.3)</f>
        <v>0.2690486808461538</v>
      </c>
      <c r="F351">
        <f>0.896828936153846*(0.3)</f>
        <v>0.2690486808461538</v>
      </c>
      <c r="G351">
        <f>0.538097361692308*(0.3)</f>
        <v>0.16142920850769227</v>
      </c>
      <c r="H351">
        <f>0.896828936153846*(0.3)</f>
        <v>0.2690486808461538</v>
      </c>
      <c r="I351">
        <f>0.896828936153846*(0.3)</f>
        <v>0.2690486808461538</v>
      </c>
      <c r="J351">
        <f>-0.179365787230769*(0.3)</f>
        <v>-5.3809736169230751E-2</v>
      </c>
      <c r="K351">
        <f>0.896828936153846*(0.3)</f>
        <v>0.2690486808461538</v>
      </c>
      <c r="L351">
        <f>0.439446178715385*(0.3)</f>
        <v>0.13183385361461536</v>
      </c>
      <c r="M351">
        <f>0.986511829769231*(0.3)</f>
        <v>0.29595354893076925</v>
      </c>
      <c r="N351">
        <f>0.896828936153846*(0.3)</f>
        <v>0.2690486808461538</v>
      </c>
    </row>
    <row r="352" spans="1:14" x14ac:dyDescent="0.25">
      <c r="A352">
        <f>2.744010627*(0.3)</f>
        <v>0.82320318810000004</v>
      </c>
      <c r="B352">
        <f>-0.211077740538462*(0.3)</f>
        <v>-6.3323322161538464E-2</v>
      </c>
      <c r="C352">
        <f>-0.633233221615385*(0.3)</f>
        <v>-0.18996996648461539</v>
      </c>
      <c r="D352">
        <f>-0.211077740538462*(0.3)</f>
        <v>-6.3323322161538464E-2</v>
      </c>
      <c r="E352">
        <f>-0.211077740538462*(0.3)</f>
        <v>-6.3323322161538464E-2</v>
      </c>
      <c r="F352">
        <f>-0.211077740538462*(0.3)</f>
        <v>-6.3323322161538464E-2</v>
      </c>
      <c r="G352">
        <f>-0.126646644323077*(0.3)</f>
        <v>-3.799399329692308E-2</v>
      </c>
      <c r="H352">
        <f>-0.211077740538462*(0.3)</f>
        <v>-6.3323322161538464E-2</v>
      </c>
      <c r="I352">
        <f>-0.211077740538462*(0.3)</f>
        <v>-6.3323322161538464E-2</v>
      </c>
      <c r="J352">
        <f>0.0422155481076923*(0.3)</f>
        <v>1.266466443230769E-2</v>
      </c>
      <c r="K352">
        <f>-0.211077740538462*(0.3)</f>
        <v>-6.3323322161538464E-2</v>
      </c>
      <c r="L352">
        <f>-0.103428092863846*(0.3)</f>
        <v>-3.1028427859153846E-2</v>
      </c>
      <c r="M352">
        <f>-0.232185514592308*(0.3)</f>
        <v>-6.9655654377692319E-2</v>
      </c>
      <c r="N352">
        <f>-0.211077740538462*(0.3)</f>
        <v>-6.3323322161538464E-2</v>
      </c>
    </row>
    <row r="353" spans="1:14" x14ac:dyDescent="0.25">
      <c r="A353">
        <f>-7.538178544*(0.3)</f>
        <v>-2.2614535631999999</v>
      </c>
      <c r="B353">
        <f>0.579859888*(0.3)</f>
        <v>0.1739579664</v>
      </c>
      <c r="C353">
        <f>1.739579664*(0.3)</f>
        <v>0.52187389919999994</v>
      </c>
      <c r="D353">
        <f>0.579859888*(0.3)</f>
        <v>0.1739579664</v>
      </c>
      <c r="E353">
        <f>0.579859888*(0.3)</f>
        <v>0.1739579664</v>
      </c>
      <c r="F353">
        <f>0.579859888*(0.3)</f>
        <v>0.1739579664</v>
      </c>
      <c r="G353">
        <f>0.3479159328*(0.3)</f>
        <v>0.10437477984</v>
      </c>
      <c r="H353">
        <f>0.579859888*(0.3)</f>
        <v>0.1739579664</v>
      </c>
      <c r="I353">
        <f>0.579859888*(0.3)</f>
        <v>0.1739579664</v>
      </c>
      <c r="J353">
        <f>-0.1159719776*(0.3)</f>
        <v>-3.4791593279999991E-2</v>
      </c>
      <c r="K353">
        <f>0.579859888*(0.3)</f>
        <v>0.1739579664</v>
      </c>
      <c r="L353">
        <f>0.28413134512*(0.3)</f>
        <v>8.5239403536E-2</v>
      </c>
      <c r="M353">
        <f>0.6378458768*(0.3)</f>
        <v>0.19135376304000001</v>
      </c>
      <c r="N353">
        <f>0.579859888*(0.3)</f>
        <v>0.1739579664</v>
      </c>
    </row>
    <row r="354" spans="1:14" x14ac:dyDescent="0.25">
      <c r="A354">
        <f>0.275767133*(0.3)</f>
        <v>8.2730139899999999E-2</v>
      </c>
      <c r="B354">
        <f>-0.0212128563846154*(0.3)</f>
        <v>-6.3638569153846147E-3</v>
      </c>
      <c r="C354">
        <f>-0.0636385691538462*(0.3)</f>
        <v>-1.9091570746153846E-2</v>
      </c>
      <c r="D354">
        <f>-0.0212128563846154*(0.3)</f>
        <v>-6.3638569153846147E-3</v>
      </c>
      <c r="E354">
        <f>-0.0212128563846154*(0.3)</f>
        <v>-6.3638569153846147E-3</v>
      </c>
      <c r="F354">
        <f>-0.0212128563846154*(0.3)</f>
        <v>-6.3638569153846147E-3</v>
      </c>
      <c r="G354">
        <f>-0.0127277138307692*(0.3)</f>
        <v>-3.8183141492307685E-3</v>
      </c>
      <c r="H354">
        <f>-0.0212128563846154*(0.3)</f>
        <v>-6.3638569153846147E-3</v>
      </c>
      <c r="I354">
        <f>-0.0212128563846154*(0.3)</f>
        <v>-6.3638569153846147E-3</v>
      </c>
      <c r="J354">
        <f>0.00424257127692308*(0.3)</f>
        <v>1.2727713830769228E-3</v>
      </c>
      <c r="K354">
        <f>-0.0212128563846154*(0.3)</f>
        <v>-6.3638569153846147E-3</v>
      </c>
      <c r="L354">
        <f>-0.0103942996284615*(0.3)</f>
        <v>-3.1182898885384609E-3</v>
      </c>
      <c r="M354">
        <f>-0.0233341420230769*(0.3)</f>
        <v>-7.0002426069230772E-3</v>
      </c>
      <c r="N354">
        <f>-0.0212128563846154*(0.3)</f>
        <v>-6.3638569153846147E-3</v>
      </c>
    </row>
    <row r="355" spans="1:14" x14ac:dyDescent="0.25">
      <c r="A355">
        <f>-11.71324558*(0.3)</f>
        <v>-3.5139736740000003</v>
      </c>
      <c r="B355">
        <f>0.901018890769231*(0.3)</f>
        <v>0.27030566723076921</v>
      </c>
      <c r="C355">
        <f>2.70305667230769*(0.3)</f>
        <v>0.81091700169230763</v>
      </c>
      <c r="D355">
        <f>0.901018890769231*(0.3)</f>
        <v>0.27030566723076921</v>
      </c>
      <c r="E355">
        <f>0.901018890769231*(0.3)</f>
        <v>0.27030566723076921</v>
      </c>
      <c r="F355">
        <f>0.901018890769231*(0.3)</f>
        <v>0.27030566723076921</v>
      </c>
      <c r="G355">
        <f>0.540611334461538*(0.3)</f>
        <v>0.16218340033846151</v>
      </c>
      <c r="H355">
        <f>0.901018890769231*(0.3)</f>
        <v>0.27030566723076921</v>
      </c>
      <c r="I355">
        <f>0.901018890769231*(0.3)</f>
        <v>0.27030566723076921</v>
      </c>
      <c r="J355">
        <f>-0.180203778153846*(0.3)</f>
        <v>-5.4061133446153833E-2</v>
      </c>
      <c r="K355">
        <f>0.901018890769231*(0.3)</f>
        <v>0.27030566723076921</v>
      </c>
      <c r="L355">
        <f>0.441499256476923*(0.3)</f>
        <v>0.13244977694307691</v>
      </c>
      <c r="M355">
        <f>0.991120779846154*(0.3)</f>
        <v>0.29733623395384617</v>
      </c>
      <c r="N355">
        <f>0.901018890769231*(0.3)</f>
        <v>0.27030566723076921</v>
      </c>
    </row>
    <row r="356" spans="1:14" x14ac:dyDescent="0.25">
      <c r="A356">
        <f>2.027881061*(0.3)</f>
        <v>0.60836431829999993</v>
      </c>
      <c r="B356">
        <f>-0.155990850846154*(0.3)</f>
        <v>-4.6797255253846155E-2</v>
      </c>
      <c r="C356">
        <f>-0.467972552538462*(0.3)</f>
        <v>-0.14039176576153847</v>
      </c>
      <c r="D356">
        <f>-0.155990850846154*(0.3)</f>
        <v>-4.6797255253846155E-2</v>
      </c>
      <c r="E356">
        <f>-0.155990850846154*(0.3)</f>
        <v>-4.6797255253846155E-2</v>
      </c>
      <c r="F356">
        <f>-0.155990850846154*(0.3)</f>
        <v>-4.6797255253846155E-2</v>
      </c>
      <c r="G356">
        <f>-0.0935945105076923*(0.3)</f>
        <v>-2.8078353152307691E-2</v>
      </c>
      <c r="H356">
        <f>-0.155990850846154*(0.3)</f>
        <v>-4.6797255253846155E-2</v>
      </c>
      <c r="I356">
        <f>-0.155990850846154*(0.3)</f>
        <v>-4.6797255253846155E-2</v>
      </c>
      <c r="J356">
        <f>0.0311981701692308*(0.3)</f>
        <v>9.3594510507692286E-3</v>
      </c>
      <c r="K356">
        <f>-0.155990850846154*(0.3)</f>
        <v>-4.6797255253846155E-2</v>
      </c>
      <c r="L356">
        <f>-0.0764355169146154*(0.3)</f>
        <v>-2.2930655074384618E-2</v>
      </c>
      <c r="M356">
        <f>-0.171589935930769*(0.3)</f>
        <v>-5.1476980779230776E-2</v>
      </c>
      <c r="N356">
        <f>-0.155990850846154*(0.3)</f>
        <v>-4.6797255253846155E-2</v>
      </c>
    </row>
    <row r="357" spans="1:14" x14ac:dyDescent="0.25">
      <c r="A357">
        <f>-15.37775431*(0.3)</f>
        <v>-4.6133262930000001</v>
      </c>
      <c r="B357">
        <f>1.18290417769231*(0.3)</f>
        <v>0.35487125330769231</v>
      </c>
      <c r="C357">
        <f>3.54871253307692*(0.3)</f>
        <v>1.0646137599230769</v>
      </c>
      <c r="D357">
        <f>1.18290417769231*(0.3)</f>
        <v>0.35487125330769231</v>
      </c>
      <c r="E357">
        <f>1.18290417769231*(0.3)</f>
        <v>0.35487125330769231</v>
      </c>
      <c r="F357">
        <f>1.18290417769231*(0.3)</f>
        <v>0.35487125330769231</v>
      </c>
      <c r="G357">
        <f>0.709742506615385*(0.3)</f>
        <v>0.21292275198461538</v>
      </c>
      <c r="H357">
        <f>1.18290417769231*(0.3)</f>
        <v>0.35487125330769231</v>
      </c>
      <c r="I357">
        <f>1.18290417769231*(0.3)</f>
        <v>0.35487125330769231</v>
      </c>
      <c r="J357">
        <f>-0.236580835538461*(0.3)</f>
        <v>-7.0974250661538438E-2</v>
      </c>
      <c r="K357">
        <f>1.18290417769231*(0.3)</f>
        <v>0.35487125330769231</v>
      </c>
      <c r="L357">
        <f>0.579623047069231*(0.3)</f>
        <v>0.1738869141207692</v>
      </c>
      <c r="M357">
        <f>1.30119459546154*(0.3)</f>
        <v>0.39035837863846151</v>
      </c>
      <c r="N357">
        <f>1.18290417769231*(0.3)</f>
        <v>0.35487125330769231</v>
      </c>
    </row>
    <row r="358" spans="1:14" x14ac:dyDescent="0.25">
      <c r="A358">
        <f>-0.454938987*(0.3)</f>
        <v>-0.13648169609999999</v>
      </c>
      <c r="B358">
        <f>0.0349953066923077*(0.3)</f>
        <v>1.0498592007692308E-2</v>
      </c>
      <c r="C358">
        <f>0.104985920076923*(0.3)</f>
        <v>3.1495776023076925E-2</v>
      </c>
      <c r="D358">
        <f>0.0349953066923077*(0.3)</f>
        <v>1.0498592007692308E-2</v>
      </c>
      <c r="E358">
        <f>0.0349953066923077*(0.3)</f>
        <v>1.0498592007692308E-2</v>
      </c>
      <c r="F358">
        <f>0.0349953066923077*(0.3)</f>
        <v>1.0498592007692308E-2</v>
      </c>
      <c r="G358">
        <f>0.0209971840153846*(0.3)</f>
        <v>6.2991552046153844E-3</v>
      </c>
      <c r="H358">
        <f>0.0349953066923077*(0.3)</f>
        <v>1.0498592007692308E-2</v>
      </c>
      <c r="I358">
        <f>0.0349953066923077*(0.3)</f>
        <v>1.0498592007692308E-2</v>
      </c>
      <c r="J358">
        <f>-0.00699906133846154*(0.3)</f>
        <v>-2.0997184015384613E-3</v>
      </c>
      <c r="K358">
        <f>0.0349953066923077*(0.3)</f>
        <v>1.0498592007692308E-2</v>
      </c>
      <c r="L358">
        <f>0.0171477002792308*(0.3)</f>
        <v>5.1443100837692303E-3</v>
      </c>
      <c r="M358">
        <f>0.0384948373615385*(0.3)</f>
        <v>1.1548451208461541E-2</v>
      </c>
      <c r="N358">
        <f>0.0349953066923077*(0.3)</f>
        <v>1.0498592007692308E-2</v>
      </c>
    </row>
    <row r="359" spans="1:14" x14ac:dyDescent="0.25">
      <c r="A359">
        <f>-20.56871234*(0.3)</f>
        <v>-6.1706137019999998</v>
      </c>
      <c r="B359">
        <f>1.58220864153846*(0.3)</f>
        <v>0.47466259246153841</v>
      </c>
      <c r="C359">
        <f>4.74662592461539*(0.3)</f>
        <v>1.4239877773846155</v>
      </c>
      <c r="D359">
        <f>1.58220864153846*(0.3)</f>
        <v>0.47466259246153841</v>
      </c>
      <c r="E359">
        <f>1.58220864153846*(0.3)</f>
        <v>0.47466259246153841</v>
      </c>
      <c r="F359">
        <f>1.58220864153846*(0.3)</f>
        <v>0.47466259246153841</v>
      </c>
      <c r="G359">
        <f>0.949325184923077*(0.3)</f>
        <v>0.28479755547692304</v>
      </c>
      <c r="H359">
        <f>1.58220864153846*(0.3)</f>
        <v>0.47466259246153841</v>
      </c>
      <c r="I359">
        <f>1.58220864153846*(0.3)</f>
        <v>0.47466259246153841</v>
      </c>
      <c r="J359">
        <f>-0.316441728307692*(0.3)</f>
        <v>-9.4932518492307674E-2</v>
      </c>
      <c r="K359">
        <f>1.58220864153846*(0.3)</f>
        <v>0.47466259246153841</v>
      </c>
      <c r="L359">
        <f>0.775282234353846*(0.3)</f>
        <v>0.23258467030615382</v>
      </c>
      <c r="M359">
        <f>1.74042950569231*(0.3)</f>
        <v>0.5221288517076923</v>
      </c>
      <c r="N359">
        <f>1.58220864153846*(0.3)</f>
        <v>0.47466259246153841</v>
      </c>
    </row>
    <row r="360" spans="1:14" x14ac:dyDescent="0.25">
      <c r="A360">
        <f>-3.191313277*(0.3)</f>
        <v>-0.9573939830999999</v>
      </c>
      <c r="B360">
        <f>0.245485636692308*(0.3)</f>
        <v>7.3645691007692304E-2</v>
      </c>
      <c r="C360">
        <f>0.736456910076923*(0.3)</f>
        <v>0.22093707302307691</v>
      </c>
      <c r="D360">
        <f>0.245485636692308*(0.3)</f>
        <v>7.3645691007692304E-2</v>
      </c>
      <c r="E360">
        <f>0.245485636692308*(0.3)</f>
        <v>7.3645691007692304E-2</v>
      </c>
      <c r="F360">
        <f>0.245485636692308*(0.3)</f>
        <v>7.3645691007692304E-2</v>
      </c>
      <c r="G360">
        <f>0.147291382015385*(0.3)</f>
        <v>4.418741460461538E-2</v>
      </c>
      <c r="H360">
        <f>0.245485636692308*(0.3)</f>
        <v>7.3645691007692304E-2</v>
      </c>
      <c r="I360">
        <f>0.245485636692308*(0.3)</f>
        <v>7.3645691007692304E-2</v>
      </c>
      <c r="J360">
        <f>-0.0490971273384615*(0.3)</f>
        <v>-1.4729138201538457E-2</v>
      </c>
      <c r="K360">
        <f>0.245485636692308*(0.3)</f>
        <v>7.3645691007692304E-2</v>
      </c>
      <c r="L360">
        <f>0.120287961979231*(0.3)</f>
        <v>3.6086388593769225E-2</v>
      </c>
      <c r="M360">
        <f>0.270034200361538*(0.3)</f>
        <v>8.1010260108461532E-2</v>
      </c>
      <c r="N360">
        <f>0.245485636692308*(0.3)</f>
        <v>7.3645691007692304E-2</v>
      </c>
    </row>
    <row r="361" spans="1:14" x14ac:dyDescent="0.25">
      <c r="A361">
        <f>-20.34191334*(0.3)</f>
        <v>-6.1025740019999999</v>
      </c>
      <c r="B361">
        <f>1.56476256461538*(0.3)</f>
        <v>0.46942876938461536</v>
      </c>
      <c r="C361">
        <f>4.69428769384615*(0.3)</f>
        <v>1.4082863081538461</v>
      </c>
      <c r="D361">
        <f>1.56476256461538*(0.3)</f>
        <v>0.46942876938461536</v>
      </c>
      <c r="E361">
        <f>1.56476256461538*(0.3)</f>
        <v>0.46942876938461536</v>
      </c>
      <c r="F361">
        <f>1.56476256461538*(0.3)</f>
        <v>0.46942876938461536</v>
      </c>
      <c r="G361">
        <f>0.938857538769231*(0.3)</f>
        <v>0.28165726163076921</v>
      </c>
      <c r="H361">
        <f>1.56476256461538*(0.3)</f>
        <v>0.46942876938461536</v>
      </c>
      <c r="I361">
        <f>1.56476256461538*(0.3)</f>
        <v>0.46942876938461536</v>
      </c>
      <c r="J361">
        <f>-0.312952512923077*(0.3)</f>
        <v>-9.388575387692305E-2</v>
      </c>
      <c r="K361">
        <f>1.56476256461538*(0.3)</f>
        <v>0.46942876938461536</v>
      </c>
      <c r="L361">
        <f>0.766733656661538*(0.3)</f>
        <v>0.23002009699846154</v>
      </c>
      <c r="M361">
        <f>1.72123882107692*(0.3)</f>
        <v>0.51637164632307697</v>
      </c>
      <c r="N361">
        <f>1.56476256461538*(0.3)</f>
        <v>0.46942876938461536</v>
      </c>
    </row>
    <row r="362" spans="1:14" x14ac:dyDescent="0.25">
      <c r="A362">
        <f>-0.44123045*(0.3)</f>
        <v>-0.132369135</v>
      </c>
      <c r="B362">
        <f>0.0339408038461538*(0.3)</f>
        <v>1.0182241153846154E-2</v>
      </c>
      <c r="C362">
        <f>0.101822411538462*(0.3)</f>
        <v>3.0546723461538462E-2</v>
      </c>
      <c r="D362">
        <f>0.0339408038461538*(0.3)</f>
        <v>1.0182241153846154E-2</v>
      </c>
      <c r="E362">
        <f>0.0339408038461538*(0.3)</f>
        <v>1.0182241153846154E-2</v>
      </c>
      <c r="F362">
        <f>0.0339408038461538*(0.3)</f>
        <v>1.0182241153846154E-2</v>
      </c>
      <c r="G362">
        <f>0.0203644823076923*(0.3)</f>
        <v>6.1093446923076921E-3</v>
      </c>
      <c r="H362">
        <f>0.0339408038461538*(0.3)</f>
        <v>1.0182241153846154E-2</v>
      </c>
      <c r="I362">
        <f>0.0339408038461538*(0.3)</f>
        <v>1.0182241153846154E-2</v>
      </c>
      <c r="J362">
        <f>-0.00678816076923077*(0.3)</f>
        <v>-2.0364482307692303E-3</v>
      </c>
      <c r="K362">
        <f>0.0339408038461538*(0.3)</f>
        <v>1.0182241153846154E-2</v>
      </c>
      <c r="L362">
        <f>0.0166309938846154*(0.3)</f>
        <v>4.9892981653846154E-3</v>
      </c>
      <c r="M362">
        <f>0.0373348842307692*(0.3)</f>
        <v>1.1200465269230771E-2</v>
      </c>
      <c r="N362">
        <f>0.0339408038461538*(0.3)</f>
        <v>1.0182241153846154E-2</v>
      </c>
    </row>
    <row r="363" spans="1:14" x14ac:dyDescent="0.25">
      <c r="A363">
        <f>-24.98589226*(0.3)</f>
        <v>-7.495767678</v>
      </c>
      <c r="B363">
        <f>1.92199171230769*(0.3)</f>
        <v>0.57659751369230772</v>
      </c>
      <c r="C363">
        <f>5.76597513692308*(0.3)</f>
        <v>1.7297925410769233</v>
      </c>
      <c r="D363">
        <f>1.92199171230769*(0.3)</f>
        <v>0.57659751369230772</v>
      </c>
      <c r="E363">
        <f>1.92199171230769*(0.3)</f>
        <v>0.57659751369230772</v>
      </c>
      <c r="F363">
        <f>1.92199171230769*(0.3)</f>
        <v>0.57659751369230772</v>
      </c>
      <c r="G363">
        <f>1.15319502738462*(0.3)</f>
        <v>0.3459585082153846</v>
      </c>
      <c r="H363">
        <f>1.92199171230769*(0.3)</f>
        <v>0.57659751369230772</v>
      </c>
      <c r="I363">
        <f>1.92199171230769*(0.3)</f>
        <v>0.57659751369230772</v>
      </c>
      <c r="J363">
        <f>-0.384398342461538*(0.3)</f>
        <v>-0.1153195027384615</v>
      </c>
      <c r="K363">
        <f>1.92199171230769*(0.3)</f>
        <v>0.57659751369230772</v>
      </c>
      <c r="L363">
        <f>0.941775939030769*(0.3)</f>
        <v>0.2825327817092308</v>
      </c>
      <c r="M363">
        <f>2.11419088353846*(0.3)</f>
        <v>0.63425726506153846</v>
      </c>
      <c r="N363">
        <f>1.92199171230769*(0.3)</f>
        <v>0.57659751369230772</v>
      </c>
    </row>
    <row r="364" spans="1:14" x14ac:dyDescent="0.25">
      <c r="A364">
        <f>0.125489376*(0.3)</f>
        <v>3.7646812800000005E-2</v>
      </c>
      <c r="B364">
        <f>-0.00965302892307692*(0.3)</f>
        <v>-2.8959086769230775E-3</v>
      </c>
      <c r="C364">
        <f>-0.0289590867692308*(0.3)</f>
        <v>-8.6877260307692324E-3</v>
      </c>
      <c r="D364">
        <f>-0.00965302892307692*(0.3)</f>
        <v>-2.8959086769230775E-3</v>
      </c>
      <c r="E364">
        <f>-0.00965302892307692*(0.3)</f>
        <v>-2.8959086769230775E-3</v>
      </c>
      <c r="F364">
        <f>-0.00965302892307692*(0.3)</f>
        <v>-2.8959086769230775E-3</v>
      </c>
      <c r="G364">
        <f>-0.00579181735384615*(0.3)</f>
        <v>-1.7375452061538464E-3</v>
      </c>
      <c r="H364">
        <f>-0.00965302892307692*(0.3)</f>
        <v>-2.8959086769230775E-3</v>
      </c>
      <c r="I364">
        <f>-0.00965302892307692*(0.3)</f>
        <v>-2.8959086769230775E-3</v>
      </c>
      <c r="J364">
        <f>0.00193060578461538*(0.3)</f>
        <v>5.791817353846153E-4</v>
      </c>
      <c r="K364">
        <f>-0.00965302892307692*(0.3)</f>
        <v>-2.8959086769230775E-3</v>
      </c>
      <c r="L364">
        <f>-0.00472998417230769*(0.3)</f>
        <v>-1.4189952516923078E-3</v>
      </c>
      <c r="M364">
        <f>-0.0106183318153846*(0.3)</f>
        <v>-3.185499544615385E-3</v>
      </c>
      <c r="N364">
        <f>-0.00965302892307692*(0.3)</f>
        <v>-2.8959086769230775E-3</v>
      </c>
    </row>
    <row r="365" spans="1:14" x14ac:dyDescent="0.25">
      <c r="A365">
        <f>-29.1599287*(0.3)</f>
        <v>-8.7479786099999988</v>
      </c>
      <c r="B365">
        <f>2.24307143846154*(0.3)</f>
        <v>0.6729214315384614</v>
      </c>
      <c r="C365">
        <f>6.72921431538462*(0.3)</f>
        <v>2.0187642946153845</v>
      </c>
      <c r="D365">
        <f>2.24307143846154*(0.3)</f>
        <v>0.6729214315384614</v>
      </c>
      <c r="E365">
        <f>2.24307143846154*(0.3)</f>
        <v>0.6729214315384614</v>
      </c>
      <c r="F365">
        <f>2.24307143846154*(0.3)</f>
        <v>0.6729214315384614</v>
      </c>
      <c r="G365">
        <f>1.34584286307692*(0.3)</f>
        <v>0.40375285892307683</v>
      </c>
      <c r="H365">
        <f>2.24307143846154*(0.3)</f>
        <v>0.6729214315384614</v>
      </c>
      <c r="I365">
        <f>2.24307143846154*(0.3)</f>
        <v>0.6729214315384614</v>
      </c>
      <c r="J365">
        <f>-0.448614287692308*(0.3)</f>
        <v>-0.13458428630769226</v>
      </c>
      <c r="K365">
        <f>2.24307143846154*(0.3)</f>
        <v>0.6729214315384614</v>
      </c>
      <c r="L365">
        <f>1.09910500484615*(0.3)</f>
        <v>0.32973150145384611</v>
      </c>
      <c r="M365">
        <f>2.46737858230769*(0.3)</f>
        <v>0.74021357469230764</v>
      </c>
      <c r="N365">
        <f>2.24307143846154*(0.3)</f>
        <v>0.6729214315384614</v>
      </c>
    </row>
    <row r="366" spans="1:14" x14ac:dyDescent="0.25">
      <c r="A366">
        <f>1.055718104*(0.3)</f>
        <v>0.31671543120000001</v>
      </c>
      <c r="B366">
        <f>-0.0812090849230769*(0.3)</f>
        <v>-2.4362725476923079E-2</v>
      </c>
      <c r="C366">
        <f>-0.243627254769231*(0.3)</f>
        <v>-7.3088176430769244E-2</v>
      </c>
      <c r="D366">
        <f>-0.0812090849230769*(0.3)</f>
        <v>-2.4362725476923079E-2</v>
      </c>
      <c r="E366">
        <f>-0.0812090849230769*(0.3)</f>
        <v>-2.4362725476923079E-2</v>
      </c>
      <c r="F366">
        <f>-0.0812090849230769*(0.3)</f>
        <v>-2.4362725476923079E-2</v>
      </c>
      <c r="G366">
        <f>-0.0487254509538462*(0.3)</f>
        <v>-1.4617635286153847E-2</v>
      </c>
      <c r="H366">
        <f>-0.0812090849230769*(0.3)</f>
        <v>-2.4362725476923079E-2</v>
      </c>
      <c r="I366">
        <f>-0.0812090849230769*(0.3)</f>
        <v>-2.4362725476923079E-2</v>
      </c>
      <c r="J366">
        <f>0.0162418169846154*(0.3)</f>
        <v>4.872545095384615E-3</v>
      </c>
      <c r="K366">
        <f>-0.0812090849230769*(0.3)</f>
        <v>-2.4362725476923079E-2</v>
      </c>
      <c r="L366">
        <f>-0.0397924516123077*(0.3)</f>
        <v>-1.1937735483692308E-2</v>
      </c>
      <c r="M366">
        <f>-0.0893299934153846*(0.3)</f>
        <v>-2.6798998024615391E-2</v>
      </c>
      <c r="N366">
        <f>-0.0812090849230769*(0.3)</f>
        <v>-2.4362725476923079E-2</v>
      </c>
    </row>
    <row r="367" spans="1:14" x14ac:dyDescent="0.25">
      <c r="A367">
        <f>-31.50053421*(0.3)</f>
        <v>-9.4501602630000008</v>
      </c>
      <c r="B367">
        <f>2.42311801615385*(0.3)</f>
        <v>0.72693540484615393</v>
      </c>
      <c r="C367">
        <f>7.26935404846154*(0.3)</f>
        <v>2.1808062145384617</v>
      </c>
      <c r="D367">
        <f>2.42311801615385*(0.3)</f>
        <v>0.72693540484615393</v>
      </c>
      <c r="E367">
        <f>2.42311801615385*(0.3)</f>
        <v>0.72693540484615393</v>
      </c>
      <c r="F367">
        <f>2.42311801615385*(0.3)</f>
        <v>0.72693540484615393</v>
      </c>
      <c r="G367">
        <f>1.45387080969231*(0.3)</f>
        <v>0.43616124290769237</v>
      </c>
      <c r="H367">
        <f>2.42311801615385*(0.3)</f>
        <v>0.72693540484615393</v>
      </c>
      <c r="I367">
        <f>2.42311801615385*(0.3)</f>
        <v>0.72693540484615393</v>
      </c>
      <c r="J367">
        <f>-0.484623603230769*(0.3)</f>
        <v>-0.14538708096923073</v>
      </c>
      <c r="K367">
        <f>2.42311801615385*(0.3)</f>
        <v>0.72693540484615393</v>
      </c>
      <c r="L367">
        <f>1.18732782791538*(0.3)</f>
        <v>0.35619834837461539</v>
      </c>
      <c r="M367">
        <f>2.66542981776923*(0.3)</f>
        <v>0.79962894533076934</v>
      </c>
      <c r="N367">
        <f>2.42311801615385*(0.3)</f>
        <v>0.72693540484615393</v>
      </c>
    </row>
    <row r="368" spans="1:14" x14ac:dyDescent="0.25">
      <c r="A368">
        <f>1.443540787*(0.3)</f>
        <v>0.4330622361</v>
      </c>
      <c r="B368">
        <f>-0.111041599*(0.3)</f>
        <v>-3.3312479700000001E-2</v>
      </c>
      <c r="C368">
        <f>-0.333124797*(0.3)</f>
        <v>-9.9937439100000011E-2</v>
      </c>
      <c r="D368">
        <f>-0.111041599*(0.3)</f>
        <v>-3.3312479700000001E-2</v>
      </c>
      <c r="E368">
        <f>-0.111041599*(0.3)</f>
        <v>-3.3312479700000001E-2</v>
      </c>
      <c r="F368">
        <f>-0.111041599*(0.3)</f>
        <v>-3.3312479700000001E-2</v>
      </c>
      <c r="G368">
        <f>-0.0666249594*(0.3)</f>
        <v>-1.998748782E-2</v>
      </c>
      <c r="H368">
        <f>-0.111041599*(0.3)</f>
        <v>-3.3312479700000001E-2</v>
      </c>
      <c r="I368">
        <f>-0.111041599*(0.3)</f>
        <v>-3.3312479700000001E-2</v>
      </c>
      <c r="J368">
        <f>0.0222083198*(0.3)</f>
        <v>6.6624959399999989E-3</v>
      </c>
      <c r="K368">
        <f>-0.111041599*(0.3)</f>
        <v>-3.3312479700000001E-2</v>
      </c>
      <c r="L368">
        <f>-0.05441038351*(0.3)</f>
        <v>-1.6323115052999999E-2</v>
      </c>
      <c r="M368">
        <f>-0.1221457589*(0.3)</f>
        <v>-3.6643727670000001E-2</v>
      </c>
      <c r="N368">
        <f>-0.111041599*(0.3)</f>
        <v>-3.3312479700000001E-2</v>
      </c>
    </row>
    <row r="369" spans="1:14" x14ac:dyDescent="0.25">
      <c r="A369">
        <f>-5.65587425*(0.3)</f>
        <v>-1.696762275</v>
      </c>
      <c r="B369">
        <f>0.43506725*(0.3)</f>
        <v>0.13052017499999999</v>
      </c>
      <c r="C369">
        <f>1.30520175*(0.3)</f>
        <v>0.39156052500000005</v>
      </c>
      <c r="D369">
        <f>0.43506725*(0.3)</f>
        <v>0.13052017499999999</v>
      </c>
      <c r="E369">
        <f>0.43506725*(0.3)</f>
        <v>0.13052017499999999</v>
      </c>
      <c r="F369">
        <f>0.43506725*(0.3)</f>
        <v>0.13052017499999999</v>
      </c>
      <c r="G369">
        <f>0.26104035*(0.3)</f>
        <v>7.8312104999999993E-2</v>
      </c>
      <c r="H369">
        <f>0.43506725*(0.3)</f>
        <v>0.13052017499999999</v>
      </c>
      <c r="I369">
        <f>0.43506725*(0.3)</f>
        <v>0.13052017499999999</v>
      </c>
      <c r="J369">
        <f>-0.08701345*(0.3)</f>
        <v>-2.6104034999999994E-2</v>
      </c>
      <c r="K369">
        <f>0.43506725*(0.3)</f>
        <v>0.13052017499999999</v>
      </c>
      <c r="L369">
        <f>0.2131829525*(0.3)</f>
        <v>6.3954885749999996E-2</v>
      </c>
      <c r="M369">
        <f>0.478573975*(0.3)</f>
        <v>0.1435721925</v>
      </c>
      <c r="N369">
        <f>0.43506725*(0.3)</f>
        <v>0.13052017499999999</v>
      </c>
    </row>
    <row r="370" spans="1:14" x14ac:dyDescent="0.25">
      <c r="A370">
        <f>2.650238775*(0.3)</f>
        <v>0.79507163250000001</v>
      </c>
      <c r="B370">
        <f>-0.203864521153846*(0.3)</f>
        <v>-6.115935634615384E-2</v>
      </c>
      <c r="C370">
        <f>-0.611593563461538*(0.3)</f>
        <v>-0.18347806903846153</v>
      </c>
      <c r="D370">
        <f>-0.203864521153846*(0.3)</f>
        <v>-6.115935634615384E-2</v>
      </c>
      <c r="E370">
        <f>-0.203864521153846*(0.3)</f>
        <v>-6.115935634615384E-2</v>
      </c>
      <c r="F370">
        <f>-0.203864521153846*(0.3)</f>
        <v>-6.115935634615384E-2</v>
      </c>
      <c r="G370">
        <f>-0.122318712692308*(0.3)</f>
        <v>-3.6695613807692304E-2</v>
      </c>
      <c r="H370">
        <f>-0.203864521153846*(0.3)</f>
        <v>-6.115935634615384E-2</v>
      </c>
      <c r="I370">
        <f>-0.203864521153846*(0.3)</f>
        <v>-6.115935634615384E-2</v>
      </c>
      <c r="J370">
        <f>0.0407729042307692*(0.3)</f>
        <v>1.2231871269230766E-2</v>
      </c>
      <c r="K370">
        <f>-0.203864521153846*(0.3)</f>
        <v>-6.115935634615384E-2</v>
      </c>
      <c r="L370">
        <f>-0.0998936153653846*(0.3)</f>
        <v>-2.9968084609615385E-2</v>
      </c>
      <c r="M370">
        <f>-0.224250973269231*(0.3)</f>
        <v>-6.7275291980769231E-2</v>
      </c>
      <c r="N370">
        <f>-0.203864521153846*(0.3)</f>
        <v>-6.115935634615384E-2</v>
      </c>
    </row>
    <row r="371" spans="1:14" x14ac:dyDescent="0.25">
      <c r="A371">
        <f>-11.67620449*(0.3)</f>
        <v>-3.5028613470000001</v>
      </c>
      <c r="B371">
        <f>0.898169576153846*(0.3)</f>
        <v>0.26945087284615382</v>
      </c>
      <c r="C371">
        <f>2.69450872846154*(0.3)</f>
        <v>0.80835261853846152</v>
      </c>
      <c r="D371">
        <f>0.898169576153846*(0.3)</f>
        <v>0.26945087284615382</v>
      </c>
      <c r="E371">
        <f>0.898169576153846*(0.3)</f>
        <v>0.26945087284615382</v>
      </c>
      <c r="F371">
        <f>0.898169576153846*(0.3)</f>
        <v>0.26945087284615382</v>
      </c>
      <c r="G371">
        <f>0.538901745692308*(0.3)</f>
        <v>0.16167052370769228</v>
      </c>
      <c r="H371">
        <f>0.898169576153846*(0.3)</f>
        <v>0.26945087284615382</v>
      </c>
      <c r="I371">
        <f>0.898169576153846*(0.3)</f>
        <v>0.26945087284615382</v>
      </c>
      <c r="J371">
        <f>-0.179633915230769*(0.3)</f>
        <v>-5.3890174569230752E-2</v>
      </c>
      <c r="K371">
        <f>0.898169576153846*(0.3)</f>
        <v>0.26945087284615382</v>
      </c>
      <c r="L371">
        <f>0.440103092315385*(0.3)</f>
        <v>0.13203092769461539</v>
      </c>
      <c r="M371">
        <f>0.987986533769231*(0.3)</f>
        <v>0.29639596013076924</v>
      </c>
      <c r="N371">
        <f>0.898169576153846*(0.3)</f>
        <v>0.26945087284615382</v>
      </c>
    </row>
    <row r="372" spans="1:14" x14ac:dyDescent="0.25">
      <c r="A372">
        <f>-2.570365981*(0.3)</f>
        <v>-0.77110979430000004</v>
      </c>
      <c r="B372">
        <f>0.197720460076923*(0.3)</f>
        <v>5.9316138023076927E-2</v>
      </c>
      <c r="C372">
        <f>0.593161380230769*(0.3)</f>
        <v>0.17794841406923076</v>
      </c>
      <c r="D372">
        <f>0.197720460076923*(0.3)</f>
        <v>5.9316138023076927E-2</v>
      </c>
      <c r="E372">
        <f>0.197720460076923*(0.3)</f>
        <v>5.9316138023076927E-2</v>
      </c>
      <c r="F372">
        <f>0.197720460076923*(0.3)</f>
        <v>5.9316138023076927E-2</v>
      </c>
      <c r="G372">
        <f>0.118632276046154*(0.3)</f>
        <v>3.5589682813846155E-2</v>
      </c>
      <c r="H372">
        <f>0.197720460076923*(0.3)</f>
        <v>5.9316138023076927E-2</v>
      </c>
      <c r="I372">
        <f>0.197720460076923*(0.3)</f>
        <v>5.9316138023076927E-2</v>
      </c>
      <c r="J372">
        <f>-0.0395440920153846*(0.3)</f>
        <v>-1.1863227604615384E-2</v>
      </c>
      <c r="K372">
        <f>0.197720460076923*(0.3)</f>
        <v>5.9316138023076927E-2</v>
      </c>
      <c r="L372">
        <f>0.0968830254376923*(0.3)</f>
        <v>2.9064907631307691E-2</v>
      </c>
      <c r="M372">
        <f>0.217492506084615*(0.3)</f>
        <v>6.5247751825384628E-2</v>
      </c>
      <c r="N372">
        <f>0.197720460076923*(0.3)</f>
        <v>5.9316138023076927E-2</v>
      </c>
    </row>
    <row r="373" spans="1:14" x14ac:dyDescent="0.25">
      <c r="A373">
        <f>-14.67124284*(0.3)</f>
        <v>-4.4013728519999997</v>
      </c>
      <c r="B373">
        <f>1.12855714153846*(0.3)</f>
        <v>0.33856714246153841</v>
      </c>
      <c r="C373">
        <f>3.38567142461538*(0.3)</f>
        <v>1.0157014273846152</v>
      </c>
      <c r="D373">
        <f>1.12855714153846*(0.3)</f>
        <v>0.33856714246153841</v>
      </c>
      <c r="E373">
        <f>1.12855714153846*(0.3)</f>
        <v>0.33856714246153841</v>
      </c>
      <c r="F373">
        <f>1.12855714153846*(0.3)</f>
        <v>0.33856714246153841</v>
      </c>
      <c r="G373">
        <f>0.677134284923077*(0.3)</f>
        <v>0.20314028547692303</v>
      </c>
      <c r="H373">
        <f>1.12855714153846*(0.3)</f>
        <v>0.33856714246153841</v>
      </c>
      <c r="I373">
        <f>1.12855714153846*(0.3)</f>
        <v>0.33856714246153841</v>
      </c>
      <c r="J373">
        <f>-0.225711428307692*(0.3)</f>
        <v>-6.7713428492307659E-2</v>
      </c>
      <c r="K373">
        <f>1.12855714153846*(0.3)</f>
        <v>0.33856714246153841</v>
      </c>
      <c r="L373">
        <f>0.552992999353846*(0.3)</f>
        <v>0.1658978998061538</v>
      </c>
      <c r="M373">
        <f>1.24141285569231*(0.3)</f>
        <v>0.37242385670769229</v>
      </c>
      <c r="N373">
        <f>1.12855714153846*(0.3)</f>
        <v>0.33856714246153841</v>
      </c>
    </row>
    <row r="374" spans="1:14" x14ac:dyDescent="0.25">
      <c r="A374">
        <f>0.112148669*(0.3)</f>
        <v>3.3644600699999999E-2</v>
      </c>
      <c r="B374">
        <f>-0.00862682069230769*(0.3)</f>
        <v>-2.5880462076923075E-3</v>
      </c>
      <c r="C374">
        <f>-0.0258804620769231*(0.3)</f>
        <v>-7.7641386230769237E-3</v>
      </c>
      <c r="D374">
        <f>-0.00862682069230769*(0.3)</f>
        <v>-2.5880462076923075E-3</v>
      </c>
      <c r="E374">
        <f>-0.00862682069230769*(0.3)</f>
        <v>-2.5880462076923075E-3</v>
      </c>
      <c r="F374">
        <f>-0.00862682069230769*(0.3)</f>
        <v>-2.5880462076923075E-3</v>
      </c>
      <c r="G374">
        <f>-0.00517609241538461*(0.3)</f>
        <v>-1.5528277246153845E-3</v>
      </c>
      <c r="H374">
        <f>-0.00862682069230769*(0.3)</f>
        <v>-2.5880462076923075E-3</v>
      </c>
      <c r="I374">
        <f>-0.00862682069230769*(0.3)</f>
        <v>-2.5880462076923075E-3</v>
      </c>
      <c r="J374">
        <f>0.00172536413846154*(0.3)</f>
        <v>5.1760924153846136E-4</v>
      </c>
      <c r="K374">
        <f>-0.00862682069230769*(0.3)</f>
        <v>-2.5880462076923075E-3</v>
      </c>
      <c r="L374">
        <f>-0.00422714213923077*(0.3)</f>
        <v>-1.2681426417692307E-3</v>
      </c>
      <c r="M374">
        <f>-0.00948950276153846*(0.3)</f>
        <v>-2.8468508284615387E-3</v>
      </c>
      <c r="N374">
        <f>-0.00862682069230769*(0.3)</f>
        <v>-2.5880462076923075E-3</v>
      </c>
    </row>
    <row r="375" spans="1:14" x14ac:dyDescent="0.25">
      <c r="A375">
        <f>-19.93726838*(0.3)</f>
        <v>-5.9811805139999992</v>
      </c>
      <c r="B375">
        <f>1.53363602923077*(0.3)</f>
        <v>0.4600908087692307</v>
      </c>
      <c r="C375">
        <f>4.60090808769231*(0.3)</f>
        <v>1.3802724263076922</v>
      </c>
      <c r="D375">
        <f>1.53363602923077*(0.3)</f>
        <v>0.4600908087692307</v>
      </c>
      <c r="E375">
        <f>1.53363602923077*(0.3)</f>
        <v>0.4600908087692307</v>
      </c>
      <c r="F375">
        <f>1.53363602923077*(0.3)</f>
        <v>0.4600908087692307</v>
      </c>
      <c r="G375">
        <f>0.920181617538461*(0.3)</f>
        <v>0.27605448526153842</v>
      </c>
      <c r="H375">
        <f>1.53363602923077*(0.3)</f>
        <v>0.4600908087692307</v>
      </c>
      <c r="I375">
        <f>1.53363602923077*(0.3)</f>
        <v>0.4600908087692307</v>
      </c>
      <c r="J375">
        <f>-0.306727205846154*(0.3)</f>
        <v>-9.2018161753846126E-2</v>
      </c>
      <c r="K375">
        <f>1.53363602923077*(0.3)</f>
        <v>0.4600908087692307</v>
      </c>
      <c r="L375">
        <f>0.751481654323077*(0.3)</f>
        <v>0.22544449629692306</v>
      </c>
      <c r="M375">
        <f>1.68699963215385*(0.3)</f>
        <v>0.50609988964615382</v>
      </c>
      <c r="N375">
        <f>1.53363602923077*(0.3)</f>
        <v>0.4600908087692307</v>
      </c>
    </row>
    <row r="376" spans="1:14" x14ac:dyDescent="0.25">
      <c r="A376">
        <f>-0.159762528*(0.3)</f>
        <v>-4.7928758399999993E-2</v>
      </c>
      <c r="B376">
        <f>0.0122894252307692*(0.3)</f>
        <v>3.6868275692307686E-3</v>
      </c>
      <c r="C376">
        <f>0.0368682756923077*(0.3)</f>
        <v>1.1060482707692306E-2</v>
      </c>
      <c r="D376">
        <f>0.0122894252307692*(0.3)</f>
        <v>3.6868275692307686E-3</v>
      </c>
      <c r="E376">
        <f>0.0122894252307692*(0.3)</f>
        <v>3.6868275692307686E-3</v>
      </c>
      <c r="F376">
        <f>0.0122894252307692*(0.3)</f>
        <v>3.6868275692307686E-3</v>
      </c>
      <c r="G376">
        <f>0.00737365513846154*(0.3)</f>
        <v>2.212096541538461E-3</v>
      </c>
      <c r="H376">
        <f>0.0122894252307692*(0.3)</f>
        <v>3.6868275692307686E-3</v>
      </c>
      <c r="I376">
        <f>0.0122894252307692*(0.3)</f>
        <v>3.6868275692307686E-3</v>
      </c>
      <c r="J376">
        <f>-0.00245788504615385*(0.3)</f>
        <v>-7.3736551384615359E-4</v>
      </c>
      <c r="K376">
        <f>0.0122894252307692*(0.3)</f>
        <v>3.6868275692307686E-3</v>
      </c>
      <c r="L376">
        <f>0.00602181836307692*(0.3)</f>
        <v>1.8065455089230768E-3</v>
      </c>
      <c r="M376">
        <f>0.0135183677538462*(0.3)</f>
        <v>4.0555103261538461E-3</v>
      </c>
      <c r="N376">
        <f>0.0122894252307692*(0.3)</f>
        <v>3.6868275692307686E-3</v>
      </c>
    </row>
    <row r="377" spans="1:14" x14ac:dyDescent="0.25">
      <c r="A377">
        <f>-25.6705605*(0.3)</f>
        <v>-7.70116815</v>
      </c>
      <c r="B377">
        <f>1.9746585*(0.3)</f>
        <v>0.59239755000000005</v>
      </c>
      <c r="C377">
        <f>5.9239755*(0.3)</f>
        <v>1.7771926499999999</v>
      </c>
      <c r="D377">
        <f>1.9746585*(0.3)</f>
        <v>0.59239755000000005</v>
      </c>
      <c r="E377">
        <f>1.9746585*(0.3)</f>
        <v>0.59239755000000005</v>
      </c>
      <c r="F377">
        <f>1.9746585*(0.3)</f>
        <v>0.59239755000000005</v>
      </c>
      <c r="G377">
        <f>1.1847951*(0.3)</f>
        <v>0.35543853000000003</v>
      </c>
      <c r="H377">
        <f>1.9746585*(0.3)</f>
        <v>0.59239755000000005</v>
      </c>
      <c r="I377">
        <f>1.9746585*(0.3)</f>
        <v>0.59239755000000005</v>
      </c>
      <c r="J377">
        <f>-0.3949317*(0.3)</f>
        <v>-0.11847950999999998</v>
      </c>
      <c r="K377">
        <f>1.9746585*(0.3)</f>
        <v>0.59239755000000005</v>
      </c>
      <c r="L377">
        <f>0.967582665*(0.3)</f>
        <v>0.29027479950000001</v>
      </c>
      <c r="M377">
        <f>2.17212435*(0.3)</f>
        <v>0.65163730500000006</v>
      </c>
      <c r="N377">
        <f>1.9746585*(0.3)</f>
        <v>0.59239755000000005</v>
      </c>
    </row>
    <row r="378" spans="1:14" x14ac:dyDescent="0.25">
      <c r="A378">
        <f>-0.879995244*(0.3)</f>
        <v>-0.26399857319999998</v>
      </c>
      <c r="B378">
        <f>0.0676919418461538*(0.3)</f>
        <v>2.0307582553846154E-2</v>
      </c>
      <c r="C378">
        <f>0.203075825538462*(0.3)</f>
        <v>6.0922747661538462E-2</v>
      </c>
      <c r="D378">
        <f>0.0676919418461538*(0.3)</f>
        <v>2.0307582553846154E-2</v>
      </c>
      <c r="E378">
        <f>0.0676919418461538*(0.3)</f>
        <v>2.0307582553846154E-2</v>
      </c>
      <c r="F378">
        <f>0.0676919418461538*(0.3)</f>
        <v>2.0307582553846154E-2</v>
      </c>
      <c r="G378">
        <f>0.0406151651076923*(0.3)</f>
        <v>1.2184549532307692E-2</v>
      </c>
      <c r="H378">
        <f>0.0676919418461538*(0.3)</f>
        <v>2.0307582553846154E-2</v>
      </c>
      <c r="I378">
        <f>0.0676919418461538*(0.3)</f>
        <v>2.0307582553846154E-2</v>
      </c>
      <c r="J378">
        <f>-0.0135383883692308*(0.3)</f>
        <v>-4.0615165107692293E-3</v>
      </c>
      <c r="K378">
        <f>0.0676919418461538*(0.3)</f>
        <v>2.0307582553846154E-2</v>
      </c>
      <c r="L378">
        <f>0.0331690515046154*(0.3)</f>
        <v>9.9507154513846143E-3</v>
      </c>
      <c r="M378">
        <f>0.0744611360307692*(0.3)</f>
        <v>2.2338340809230767E-2</v>
      </c>
      <c r="N378">
        <f>0.0676919418461538*(0.3)</f>
        <v>2.0307582553846154E-2</v>
      </c>
    </row>
    <row r="379" spans="1:14" x14ac:dyDescent="0.25">
      <c r="A379">
        <f>-31.20811052*(0.3)</f>
        <v>-9.3624331559999998</v>
      </c>
      <c r="B379">
        <f>2.40062388615385*(0.3)</f>
        <v>0.72018716584615383</v>
      </c>
      <c r="C379">
        <f>7.20187165846154*(0.3)</f>
        <v>2.1605614975384615</v>
      </c>
      <c r="D379">
        <f>2.40062388615385*(0.3)</f>
        <v>0.72018716584615383</v>
      </c>
      <c r="E379">
        <f>2.40062388615385*(0.3)</f>
        <v>0.72018716584615383</v>
      </c>
      <c r="F379">
        <f>2.40062388615385*(0.3)</f>
        <v>0.72018716584615383</v>
      </c>
      <c r="G379">
        <f>1.44037433169231*(0.3)</f>
        <v>0.43211229950769231</v>
      </c>
      <c r="H379">
        <f>2.40062388615385*(0.3)</f>
        <v>0.72018716584615383</v>
      </c>
      <c r="I379">
        <f>2.40062388615385*(0.3)</f>
        <v>0.72018716584615383</v>
      </c>
      <c r="J379">
        <f>-0.480124777230769*(0.3)</f>
        <v>-0.14403743316923073</v>
      </c>
      <c r="K379">
        <f>2.40062388615385*(0.3)</f>
        <v>0.72018716584615383</v>
      </c>
      <c r="L379">
        <f>1.17630570421538*(0.3)</f>
        <v>0.35289171126461538</v>
      </c>
      <c r="M379">
        <f>2.64068627476923*(0.3)</f>
        <v>0.79220588243076928</v>
      </c>
      <c r="N379">
        <f>2.40062388615385*(0.3)</f>
        <v>0.72018716584615383</v>
      </c>
    </row>
    <row r="380" spans="1:14" x14ac:dyDescent="0.25">
      <c r="A380">
        <f>-0.625831726*(0.3)</f>
        <v>-0.18774951780000002</v>
      </c>
      <c r="B380">
        <f>0.048140902*(0.3)</f>
        <v>1.4442270599999999E-2</v>
      </c>
      <c r="C380">
        <f>0.144422706*(0.3)</f>
        <v>4.3326811800000004E-2</v>
      </c>
      <c r="D380">
        <f>0.048140902*(0.3)</f>
        <v>1.4442270599999999E-2</v>
      </c>
      <c r="E380">
        <f>0.048140902*(0.3)</f>
        <v>1.4442270599999999E-2</v>
      </c>
      <c r="F380">
        <f>0.048140902*(0.3)</f>
        <v>1.4442270599999999E-2</v>
      </c>
      <c r="G380">
        <f>0.0288845412*(0.3)</f>
        <v>8.6653623599999997E-3</v>
      </c>
      <c r="H380">
        <f>0.048140902*(0.3)</f>
        <v>1.4442270599999999E-2</v>
      </c>
      <c r="I380">
        <f>0.048140902*(0.3)</f>
        <v>1.4442270599999999E-2</v>
      </c>
      <c r="J380">
        <f>-0.0096281804*(0.3)</f>
        <v>-2.8884541199999995E-3</v>
      </c>
      <c r="K380">
        <f>0.048140902*(0.3)</f>
        <v>1.4442270599999999E-2</v>
      </c>
      <c r="L380">
        <f>0.02358904198*(0.3)</f>
        <v>7.0767125939999991E-3</v>
      </c>
      <c r="M380">
        <f>0.0529549922*(0.3)</f>
        <v>1.5886497659999999E-2</v>
      </c>
      <c r="N380">
        <f>0.048140902*(0.3)</f>
        <v>1.4442270599999999E-2</v>
      </c>
    </row>
    <row r="381" spans="1:14" x14ac:dyDescent="0.25">
      <c r="A381">
        <f>-32.20039305*(0.3)</f>
        <v>-9.6601179150000007</v>
      </c>
      <c r="B381">
        <f>2.47695331153846*(0.3)</f>
        <v>0.74308599346153847</v>
      </c>
      <c r="C381">
        <f>7.43085993461538*(0.3)</f>
        <v>2.2292579803846153</v>
      </c>
      <c r="D381">
        <f>2.47695331153846*(0.3)</f>
        <v>0.74308599346153847</v>
      </c>
      <c r="E381">
        <f>2.47695331153846*(0.3)</f>
        <v>0.74308599346153847</v>
      </c>
      <c r="F381">
        <f>2.47695331153846*(0.3)</f>
        <v>0.74308599346153847</v>
      </c>
      <c r="G381">
        <f>1.48617198692308*(0.3)</f>
        <v>0.4458515960769231</v>
      </c>
      <c r="H381">
        <f>2.47695331153846*(0.3)</f>
        <v>0.74308599346153847</v>
      </c>
      <c r="I381">
        <f>2.47695331153846*(0.3)</f>
        <v>0.74308599346153847</v>
      </c>
      <c r="J381">
        <f>-0.495390662307692*(0.3)</f>
        <v>-0.14861719869230766</v>
      </c>
      <c r="K381">
        <f>2.47695331153846*(0.3)</f>
        <v>0.74308599346153847</v>
      </c>
      <c r="L381">
        <f>1.21370712265385*(0.3)</f>
        <v>0.3641121367961539</v>
      </c>
      <c r="M381">
        <f>2.72464864269231*(0.3)</f>
        <v>0.81739459280769233</v>
      </c>
      <c r="N381">
        <f>2.47695331153846*(0.3)</f>
        <v>0.74308599346153847</v>
      </c>
    </row>
    <row r="382" spans="1:14" x14ac:dyDescent="0.25">
      <c r="A382">
        <f>2.177044792*(0.3)</f>
        <v>0.65311343759999996</v>
      </c>
      <c r="B382">
        <f>-0.167464984*(0.3)</f>
        <v>-5.0239495199999991E-2</v>
      </c>
      <c r="C382">
        <f>-0.502394952*(0.3)</f>
        <v>-0.15071848559999998</v>
      </c>
      <c r="D382">
        <f>-0.167464984*(0.3)</f>
        <v>-5.0239495199999991E-2</v>
      </c>
      <c r="E382">
        <f>-0.167464984*(0.3)</f>
        <v>-5.0239495199999991E-2</v>
      </c>
      <c r="F382">
        <f>-0.167464984*(0.3)</f>
        <v>-5.0239495199999991E-2</v>
      </c>
      <c r="G382">
        <f>-0.1004789904*(0.3)</f>
        <v>-3.0143697119999993E-2</v>
      </c>
      <c r="H382">
        <f>-0.167464984*(0.3)</f>
        <v>-5.0239495199999991E-2</v>
      </c>
      <c r="I382">
        <f>-0.167464984*(0.3)</f>
        <v>-5.0239495199999991E-2</v>
      </c>
      <c r="J382">
        <f>0.0334929968*(0.3)</f>
        <v>1.0047899039999995E-2</v>
      </c>
      <c r="K382">
        <f>-0.167464984*(0.3)</f>
        <v>-5.0239495199999991E-2</v>
      </c>
      <c r="L382">
        <f>-0.08205784216*(0.3)</f>
        <v>-2.4617352647999996E-2</v>
      </c>
      <c r="M382">
        <f>-0.1842114824*(0.3)</f>
        <v>-5.5263444719999992E-2</v>
      </c>
      <c r="N382">
        <f>-0.167464984*(0.3)</f>
        <v>-5.0239495199999991E-2</v>
      </c>
    </row>
    <row r="383" spans="1:14" x14ac:dyDescent="0.25">
      <c r="A383">
        <f>-35.47871335*(0.3)</f>
        <v>-10.643614005</v>
      </c>
      <c r="B383">
        <f>2.72913179615385*(0.3)</f>
        <v>0.8187395388461538</v>
      </c>
      <c r="C383">
        <f>8.18739538846154*(0.3)</f>
        <v>2.4562186165384614</v>
      </c>
      <c r="D383">
        <f>2.72913179615385*(0.3)</f>
        <v>0.8187395388461538</v>
      </c>
      <c r="E383">
        <f>2.72913179615385*(0.3)</f>
        <v>0.8187395388461538</v>
      </c>
      <c r="F383">
        <f>2.72913179615385*(0.3)</f>
        <v>0.8187395388461538</v>
      </c>
      <c r="G383">
        <f>1.63747907769231*(0.3)</f>
        <v>0.49124372330769228</v>
      </c>
      <c r="H383">
        <f>2.72913179615385*(0.3)</f>
        <v>0.8187395388461538</v>
      </c>
      <c r="I383">
        <f>2.72913179615385*(0.3)</f>
        <v>0.8187395388461538</v>
      </c>
      <c r="J383">
        <f>-0.545826359230769*(0.3)</f>
        <v>-0.16374790776923073</v>
      </c>
      <c r="K383">
        <f>2.72913179615385*(0.3)</f>
        <v>0.8187395388461538</v>
      </c>
      <c r="L383">
        <f>1.33727458011538*(0.3)</f>
        <v>0.40118237403461537</v>
      </c>
      <c r="M383">
        <f>3.00204497576923*(0.3)</f>
        <v>0.90061349273076918</v>
      </c>
      <c r="N383">
        <f>2.72913179615385*(0.3)</f>
        <v>0.8187395388461538</v>
      </c>
    </row>
    <row r="384" spans="1:14" x14ac:dyDescent="0.25">
      <c r="A384">
        <f>0.537704812*(0.3)</f>
        <v>0.16131144359999999</v>
      </c>
      <c r="B384">
        <f>-0.0413619086153846*(0.3)</f>
        <v>-1.2408572584615384E-2</v>
      </c>
      <c r="C384">
        <f>-0.124085725846154*(0.3)</f>
        <v>-3.7225717753846151E-2</v>
      </c>
      <c r="D384">
        <f>-0.0413619086153846*(0.3)</f>
        <v>-1.2408572584615384E-2</v>
      </c>
      <c r="E384">
        <f>-0.0413619086153846*(0.3)</f>
        <v>-1.2408572584615384E-2</v>
      </c>
      <c r="F384">
        <f>-0.0413619086153846*(0.3)</f>
        <v>-1.2408572584615384E-2</v>
      </c>
      <c r="G384">
        <f>-0.0248171451692308*(0.3)</f>
        <v>-7.4451435507692301E-3</v>
      </c>
      <c r="H384">
        <f>-0.0413619086153846*(0.3)</f>
        <v>-1.2408572584615384E-2</v>
      </c>
      <c r="I384">
        <f>-0.0413619086153846*(0.3)</f>
        <v>-1.2408572584615384E-2</v>
      </c>
      <c r="J384">
        <f>0.00827238172307692*(0.3)</f>
        <v>2.4817145169230763E-3</v>
      </c>
      <c r="K384">
        <f>-0.0413619086153846*(0.3)</f>
        <v>-1.2408572584615384E-2</v>
      </c>
      <c r="L384">
        <f>-0.0202673352215385*(0.3)</f>
        <v>-6.0802005664615383E-3</v>
      </c>
      <c r="M384">
        <f>-0.0454980994769231*(0.3)</f>
        <v>-1.3649429843076924E-2</v>
      </c>
      <c r="N384">
        <f>-0.0413619086153846*(0.3)</f>
        <v>-1.2408572584615384E-2</v>
      </c>
    </row>
    <row r="385" spans="1:14" x14ac:dyDescent="0.25">
      <c r="A385">
        <f>46.30181935*(0.3)</f>
        <v>13.890545805</v>
      </c>
      <c r="B385">
        <f>-3.56167841153846*(0.3)</f>
        <v>-1.0685035234615385</v>
      </c>
      <c r="C385">
        <f>-10.6850352346154*(0.3)</f>
        <v>-3.205510570384615</v>
      </c>
      <c r="D385">
        <f>-3.56167841153846*(0.3)</f>
        <v>-1.0685035234615385</v>
      </c>
      <c r="E385">
        <f>-3.56167841153846*(0.3)</f>
        <v>-1.0685035234615385</v>
      </c>
      <c r="F385">
        <f>-3.56167841153846*(0.3)</f>
        <v>-1.0685035234615385</v>
      </c>
      <c r="G385">
        <f>-2.13700704692308*(0.3)</f>
        <v>-0.64110211407692308</v>
      </c>
      <c r="H385">
        <f>-3.56167841153846*(0.3)</f>
        <v>-1.0685035234615385</v>
      </c>
      <c r="I385">
        <f>-3.56167841153846*(0.3)</f>
        <v>-1.0685035234615385</v>
      </c>
      <c r="J385">
        <f>0.712335682307692*(0.3)</f>
        <v>0.21370070469230765</v>
      </c>
      <c r="K385">
        <f>-3.56167841153846*(0.3)</f>
        <v>-1.0685035234615385</v>
      </c>
      <c r="L385">
        <f>-1.74522242165385*(0.3)</f>
        <v>-0.52356672649615377</v>
      </c>
      <c r="M385">
        <f>-3.91784625269231*(0.3)</f>
        <v>-1.1753538758076925</v>
      </c>
      <c r="N385">
        <f>-3.56167841153846*(0.3)</f>
        <v>-1.0685035234615385</v>
      </c>
    </row>
    <row r="386" spans="1:14" x14ac:dyDescent="0.25">
      <c r="A386">
        <f>785.9442752*(0.3)</f>
        <v>235.78328255999998</v>
      </c>
      <c r="B386">
        <f>-60.4572519384615*(0.3)</f>
        <v>-18.137175581538461</v>
      </c>
      <c r="C386">
        <f>-181.371755815385*(0.3)</f>
        <v>-54.411526744615387</v>
      </c>
      <c r="D386">
        <f>-60.4572519384615*(0.3)</f>
        <v>-18.137175581538461</v>
      </c>
      <c r="E386">
        <f>-60.4572519384615*(0.3)</f>
        <v>-18.137175581538461</v>
      </c>
      <c r="F386">
        <f>-60.4572519384615*(0.3)</f>
        <v>-18.137175581538461</v>
      </c>
      <c r="G386">
        <f>-36.2743511630769*(0.3)</f>
        <v>-10.882305348923076</v>
      </c>
      <c r="H386">
        <f>-60.4572519384615*(0.3)</f>
        <v>-18.137175581538461</v>
      </c>
      <c r="I386">
        <f>-60.4572519384615*(0.3)</f>
        <v>-18.137175581538461</v>
      </c>
      <c r="J386">
        <f>12.0914503876923*(0.3)</f>
        <v>3.6274351163076912</v>
      </c>
      <c r="K386">
        <f>-60.4572519384615*(0.3)</f>
        <v>-18.137175581538461</v>
      </c>
      <c r="L386">
        <f>-29.6240534498462*(0.3)</f>
        <v>-8.8872160349538465</v>
      </c>
      <c r="M386">
        <f>-66.5029771323077*(0.3)</f>
        <v>-19.950893139692308</v>
      </c>
      <c r="N386">
        <f>-60.4572519384615*(0.3)</f>
        <v>-18.137175581538461</v>
      </c>
    </row>
    <row r="387" spans="1:14" x14ac:dyDescent="0.25">
      <c r="A387">
        <f>60.20766095*(0.3)</f>
        <v>18.062298284999997</v>
      </c>
      <c r="B387">
        <f>-4.63135853461538*(0.3)</f>
        <v>-1.3894075603846152</v>
      </c>
      <c r="C387">
        <f>-13.8940756038462*(0.3)</f>
        <v>-4.1682226811538463</v>
      </c>
      <c r="D387">
        <f>-4.63135853461538*(0.3)</f>
        <v>-1.3894075603846152</v>
      </c>
      <c r="E387">
        <f>-4.63135853461538*(0.3)</f>
        <v>-1.3894075603846152</v>
      </c>
      <c r="F387">
        <f>-4.63135853461538*(0.3)</f>
        <v>-1.3894075603846152</v>
      </c>
      <c r="G387">
        <f>-2.77881512076923*(0.3)</f>
        <v>-0.83364453623076906</v>
      </c>
      <c r="H387">
        <f>-4.63135853461538*(0.3)</f>
        <v>-1.3894075603846152</v>
      </c>
      <c r="I387">
        <f>-4.63135853461538*(0.3)</f>
        <v>-1.3894075603846152</v>
      </c>
      <c r="J387">
        <f>0.926271706923077*(0.3)</f>
        <v>0.27788151207692302</v>
      </c>
      <c r="K387">
        <f>-4.63135853461538*(0.3)</f>
        <v>-1.3894075603846152</v>
      </c>
      <c r="L387">
        <f>-2.26936568196154*(0.3)</f>
        <v>-0.68080970458846146</v>
      </c>
      <c r="M387">
        <f>-5.09449438807692*(0.3)</f>
        <v>-1.5283483164230771</v>
      </c>
      <c r="N387">
        <f>-4.63135853461538*(0.3)</f>
        <v>-1.3894075603846152</v>
      </c>
    </row>
    <row r="388" spans="1:14" x14ac:dyDescent="0.25">
      <c r="A388">
        <f>1059.384728*(0.3)</f>
        <v>317.8154184</v>
      </c>
      <c r="B388">
        <f>-81.4911329230769*(0.3)</f>
        <v>-24.447339876923074</v>
      </c>
      <c r="C388">
        <f>-244.473398769231*(0.3)</f>
        <v>-73.342019630769229</v>
      </c>
      <c r="D388">
        <f>-81.4911329230769*(0.3)</f>
        <v>-24.447339876923074</v>
      </c>
      <c r="E388">
        <f>-81.4911329230769*(0.3)</f>
        <v>-24.447339876923074</v>
      </c>
      <c r="F388">
        <f>-81.4911329230769*(0.3)</f>
        <v>-24.447339876923074</v>
      </c>
      <c r="G388">
        <f>-48.8946797538461*(0.3)</f>
        <v>-14.668403926153843</v>
      </c>
      <c r="H388">
        <f>-81.4911329230769*(0.3)</f>
        <v>-24.447339876923074</v>
      </c>
      <c r="I388">
        <f>-81.4911329230769*(0.3)</f>
        <v>-24.447339876923074</v>
      </c>
      <c r="J388">
        <f>16.2982265846154*(0.3)</f>
        <v>4.8894679753846146</v>
      </c>
      <c r="K388">
        <f>-81.4911329230769*(0.3)</f>
        <v>-24.447339876923074</v>
      </c>
      <c r="L388">
        <f>-39.9306551323077*(0.3)</f>
        <v>-11.979196539692307</v>
      </c>
      <c r="M388">
        <f>-89.6402462153846*(0.3)</f>
        <v>-26.892073864615387</v>
      </c>
      <c r="N388">
        <f>-81.4911329230769*(0.3)</f>
        <v>-24.447339876923074</v>
      </c>
    </row>
    <row r="389" spans="1:14" x14ac:dyDescent="0.25">
      <c r="A389">
        <f>79.34707814*(0.3)</f>
        <v>23.804123441999998</v>
      </c>
      <c r="B389">
        <f>-6.10362139538462*(0.3)</f>
        <v>-1.8310864186153846</v>
      </c>
      <c r="C389">
        <f>-18.3108641861538*(0.3)</f>
        <v>-5.4932592558461542</v>
      </c>
      <c r="D389">
        <f>-6.10362139538462*(0.3)</f>
        <v>-1.8310864186153846</v>
      </c>
      <c r="E389">
        <f>-6.10362139538462*(0.3)</f>
        <v>-1.8310864186153846</v>
      </c>
      <c r="F389">
        <f>-6.10362139538462*(0.3)</f>
        <v>-1.8310864186153846</v>
      </c>
      <c r="G389">
        <f>-3.66217283723077*(0.3)</f>
        <v>-1.0986518511692307</v>
      </c>
      <c r="H389">
        <f>-6.10362139538462*(0.3)</f>
        <v>-1.8310864186153846</v>
      </c>
      <c r="I389">
        <f>-6.10362139538462*(0.3)</f>
        <v>-1.8310864186153846</v>
      </c>
      <c r="J389">
        <f>1.22072427907692*(0.3)</f>
        <v>0.36621728372307683</v>
      </c>
      <c r="K389">
        <f>-6.10362139538462*(0.3)</f>
        <v>-1.8310864186153846</v>
      </c>
      <c r="L389">
        <f>-2.99077448373846*(0.3)</f>
        <v>-0.89723234512153838</v>
      </c>
      <c r="M389">
        <f>-6.71398353492308*(0.3)</f>
        <v>-2.014195060476923</v>
      </c>
      <c r="N389">
        <f>-6.10362139538462*(0.3)</f>
        <v>-1.8310864186153846</v>
      </c>
    </row>
    <row r="390" spans="1:14" x14ac:dyDescent="0.25">
      <c r="A390">
        <f>1336.192298*(0.3)</f>
        <v>400.85768939999997</v>
      </c>
      <c r="B390">
        <f>-102.784022923077*(0.3)</f>
        <v>-30.835206876923074</v>
      </c>
      <c r="C390">
        <f>-308.352068769231*(0.3)</f>
        <v>-92.505620630769229</v>
      </c>
      <c r="D390">
        <f>-102.784022923077*(0.3)</f>
        <v>-30.835206876923074</v>
      </c>
      <c r="E390">
        <f>-102.784022923077*(0.3)</f>
        <v>-30.835206876923074</v>
      </c>
      <c r="F390">
        <f>-102.784022923077*(0.3)</f>
        <v>-30.835206876923074</v>
      </c>
      <c r="G390">
        <f>-61.6704137538461*(0.3)</f>
        <v>-18.501124126153844</v>
      </c>
      <c r="H390">
        <f>-102.784022923077*(0.3)</f>
        <v>-30.835206876923074</v>
      </c>
      <c r="I390">
        <f>-102.784022923077*(0.3)</f>
        <v>-30.835206876923074</v>
      </c>
      <c r="J390">
        <f>20.5568045846154*(0.3)</f>
        <v>6.1670413753846134</v>
      </c>
      <c r="K390">
        <f>-102.784022923077*(0.3)</f>
        <v>-30.835206876923074</v>
      </c>
      <c r="L390">
        <f>-50.3641712323077*(0.3)</f>
        <v>-15.109251369692306</v>
      </c>
      <c r="M390">
        <f>-113.062425215385*(0.3)</f>
        <v>-33.918727564615388</v>
      </c>
      <c r="N390">
        <f>-102.784022923077*(0.3)</f>
        <v>-30.835206876923074</v>
      </c>
    </row>
    <row r="391" spans="1:14" x14ac:dyDescent="0.25">
      <c r="A391">
        <f>91.99976719*(0.3)</f>
        <v>27.599930156999999</v>
      </c>
      <c r="B391">
        <f>-7.07690516846154*(0.3)</f>
        <v>-2.1230715505384614</v>
      </c>
      <c r="C391">
        <f>-21.2307155053846*(0.3)</f>
        <v>-6.3692146516153842</v>
      </c>
      <c r="D391">
        <f>-7.07690516846154*(0.3)</f>
        <v>-2.1230715505384614</v>
      </c>
      <c r="E391">
        <f>-7.07690516846154*(0.3)</f>
        <v>-2.1230715505384614</v>
      </c>
      <c r="F391">
        <f>-7.07690516846154*(0.3)</f>
        <v>-2.1230715505384614</v>
      </c>
      <c r="G391">
        <f>-4.24614310107692*(0.3)</f>
        <v>-1.2738429303230767</v>
      </c>
      <c r="H391">
        <f>-7.07690516846154*(0.3)</f>
        <v>-2.1230715505384614</v>
      </c>
      <c r="I391">
        <f>-7.07690516846154*(0.3)</f>
        <v>-2.1230715505384614</v>
      </c>
      <c r="J391">
        <f>1.41538103369231*(0.3)</f>
        <v>0.42461431010769218</v>
      </c>
      <c r="K391">
        <f>-7.07690516846154*(0.3)</f>
        <v>-2.1230715505384614</v>
      </c>
      <c r="L391">
        <f>-3.46768353254615*(0.3)</f>
        <v>-1.0403050597638459</v>
      </c>
      <c r="M391">
        <f>-7.78459568530769*(0.3)</f>
        <v>-2.3353787055923076</v>
      </c>
      <c r="N391">
        <f>-7.07690516846154*(0.3)</f>
        <v>-2.1230715505384614</v>
      </c>
    </row>
    <row r="392" spans="1:14" x14ac:dyDescent="0.25">
      <c r="A392">
        <f>1616.904527*(0.3)</f>
        <v>485.07135809999994</v>
      </c>
      <c r="B392">
        <f>-124.377271307692*(0.3)</f>
        <v>-37.31318139230769</v>
      </c>
      <c r="C392">
        <f>-373.131813923077*(0.3)</f>
        <v>-111.93954417692306</v>
      </c>
      <c r="D392">
        <f>-124.377271307692*(0.3)</f>
        <v>-37.31318139230769</v>
      </c>
      <c r="E392">
        <f>-124.377271307692*(0.3)</f>
        <v>-37.31318139230769</v>
      </c>
      <c r="F392">
        <f>-124.377271307692*(0.3)</f>
        <v>-37.31318139230769</v>
      </c>
      <c r="G392">
        <f>-74.6263627846154*(0.3)</f>
        <v>-22.387908835384614</v>
      </c>
      <c r="H392">
        <f>-124.377271307692*(0.3)</f>
        <v>-37.31318139230769</v>
      </c>
      <c r="I392">
        <f>-124.377271307692*(0.3)</f>
        <v>-37.31318139230769</v>
      </c>
      <c r="J392">
        <f>24.8754542615385*(0.3)</f>
        <v>7.4626362784615363</v>
      </c>
      <c r="K392">
        <f>-124.377271307692*(0.3)</f>
        <v>-37.31318139230769</v>
      </c>
      <c r="L392">
        <f>-60.9448629407692*(0.3)</f>
        <v>-18.283458882230768</v>
      </c>
      <c r="M392">
        <f>-136.814998438462*(0.3)</f>
        <v>-41.044499531538463</v>
      </c>
      <c r="N392">
        <f>-124.377271307692*(0.3)</f>
        <v>-37.31318139230769</v>
      </c>
    </row>
    <row r="393" spans="1:14" x14ac:dyDescent="0.25">
      <c r="A393">
        <f>107.2301023*(0.3)</f>
        <v>32.16903069</v>
      </c>
      <c r="B393">
        <f>-8.24846940769231*(0.3)</f>
        <v>-2.4745408223076923</v>
      </c>
      <c r="C393">
        <f>-24.7454082230769*(0.3)</f>
        <v>-7.423622466923077</v>
      </c>
      <c r="D393">
        <f>-8.24846940769231*(0.3)</f>
        <v>-2.4745408223076923</v>
      </c>
      <c r="E393">
        <f>-8.24846940769231*(0.3)</f>
        <v>-2.4745408223076923</v>
      </c>
      <c r="F393">
        <f>-8.24846940769231*(0.3)</f>
        <v>-2.4745408223076923</v>
      </c>
      <c r="G393">
        <f>-4.94908164461538*(0.3)</f>
        <v>-1.4847244933846153</v>
      </c>
      <c r="H393">
        <f>-8.24846940769231*(0.3)</f>
        <v>-2.4745408223076923</v>
      </c>
      <c r="I393">
        <f>-8.24846940769231*(0.3)</f>
        <v>-2.4745408223076923</v>
      </c>
      <c r="J393">
        <f>1.64969388153846*(0.3)</f>
        <v>0.4949081644615384</v>
      </c>
      <c r="K393">
        <f>-8.24846940769231*(0.3)</f>
        <v>-2.4745408223076923</v>
      </c>
      <c r="L393">
        <f>-4.04175000976923*(0.3)</f>
        <v>-1.2125250029307693</v>
      </c>
      <c r="M393">
        <f>-9.07331634846154*(0.3)</f>
        <v>-2.7219949045384619</v>
      </c>
      <c r="N393">
        <f>-8.24846940769231*(0.3)</f>
        <v>-2.4745408223076923</v>
      </c>
    </row>
    <row r="394" spans="1:14" x14ac:dyDescent="0.25">
      <c r="A394">
        <f>1905.217578*(0.3)</f>
        <v>571.56527340000002</v>
      </c>
      <c r="B394">
        <f>-146.555198307692*(0.3)</f>
        <v>-43.966559492307688</v>
      </c>
      <c r="C394">
        <f>-439.665594923077*(0.3)</f>
        <v>-131.89967847692307</v>
      </c>
      <c r="D394">
        <f>-146.555198307692*(0.3)</f>
        <v>-43.966559492307688</v>
      </c>
      <c r="E394">
        <f>-146.555198307692*(0.3)</f>
        <v>-43.966559492307688</v>
      </c>
      <c r="F394">
        <f>-146.555198307692*(0.3)</f>
        <v>-43.966559492307688</v>
      </c>
      <c r="G394">
        <f>-87.9331189846154*(0.3)</f>
        <v>-26.379935695384614</v>
      </c>
      <c r="H394">
        <f>-146.555198307692*(0.3)</f>
        <v>-43.966559492307688</v>
      </c>
      <c r="I394">
        <f>-146.555198307692*(0.3)</f>
        <v>-43.966559492307688</v>
      </c>
      <c r="J394">
        <f>29.3110396615385*(0.3)</f>
        <v>8.7933118984615355</v>
      </c>
      <c r="K394">
        <f>-146.555198307692*(0.3)</f>
        <v>-43.966559492307688</v>
      </c>
      <c r="L394">
        <f>-71.8120471707692*(0.3)</f>
        <v>-21.54361415123077</v>
      </c>
      <c r="M394">
        <f>-161.210718138462*(0.3)</f>
        <v>-48.363215441538465</v>
      </c>
      <c r="N394">
        <f>-146.555198307692*(0.3)</f>
        <v>-43.966559492307688</v>
      </c>
    </row>
    <row r="395" spans="1:14" x14ac:dyDescent="0.25">
      <c r="A395">
        <f>114.581472*(0.3)</f>
        <v>34.374441599999997</v>
      </c>
      <c r="B395">
        <f>-8.81395938461539*(0.3)</f>
        <v>-2.6441878153846154</v>
      </c>
      <c r="C395">
        <f>-26.4418781538462*(0.3)</f>
        <v>-7.9325634461538463</v>
      </c>
      <c r="D395">
        <f>-8.81395938461539*(0.3)</f>
        <v>-2.6441878153846154</v>
      </c>
      <c r="E395">
        <f>-8.81395938461539*(0.3)</f>
        <v>-2.6441878153846154</v>
      </c>
      <c r="F395">
        <f>-8.81395938461539*(0.3)</f>
        <v>-2.6441878153846154</v>
      </c>
      <c r="G395">
        <f>-5.28837563076923*(0.3)</f>
        <v>-1.5865126892307693</v>
      </c>
      <c r="H395">
        <f>-8.81395938461539*(0.3)</f>
        <v>-2.6441878153846154</v>
      </c>
      <c r="I395">
        <f>-8.81395938461539*(0.3)</f>
        <v>-2.6441878153846154</v>
      </c>
      <c r="J395">
        <f>1.76279187692308*(0.3)</f>
        <v>0.52883756307692298</v>
      </c>
      <c r="K395">
        <f>-8.81395938461539*(0.3)</f>
        <v>-2.6441878153846154</v>
      </c>
      <c r="L395">
        <f>-4.31884009846154*(0.3)</f>
        <v>-1.2956520295384617</v>
      </c>
      <c r="M395">
        <f>-9.69535532307692*(0.3)</f>
        <v>-2.9086065969230774</v>
      </c>
      <c r="N395">
        <f>-8.81395938461539*(0.3)</f>
        <v>-2.6441878153846154</v>
      </c>
    </row>
    <row r="396" spans="1:14" x14ac:dyDescent="0.25">
      <c r="A396">
        <f>2196.949861*(0.3)</f>
        <v>659.08495830000004</v>
      </c>
      <c r="B396">
        <f>-168.996143153846*(0.3)</f>
        <v>-50.698842946153846</v>
      </c>
      <c r="C396">
        <f>-506.988429461538*(0.3)</f>
        <v>-152.09652883846155</v>
      </c>
      <c r="D396">
        <f>-168.996143153846*(0.3)</f>
        <v>-50.698842946153846</v>
      </c>
      <c r="E396">
        <f>-168.996143153846*(0.3)</f>
        <v>-50.698842946153846</v>
      </c>
      <c r="F396">
        <f>-168.996143153846*(0.3)</f>
        <v>-50.698842946153846</v>
      </c>
      <c r="G396">
        <f>-101.397685892308*(0.3)</f>
        <v>-30.419305767692308</v>
      </c>
      <c r="H396">
        <f>-168.996143153846*(0.3)</f>
        <v>-50.698842946153846</v>
      </c>
      <c r="I396">
        <f>-168.996143153846*(0.3)</f>
        <v>-50.698842946153846</v>
      </c>
      <c r="J396">
        <f>33.7992286307692*(0.3)</f>
        <v>10.139768589230767</v>
      </c>
      <c r="K396">
        <f>-168.996143153846*(0.3)</f>
        <v>-50.698842946153846</v>
      </c>
      <c r="L396">
        <f>-82.8081101453846*(0.3)</f>
        <v>-24.842433043615383</v>
      </c>
      <c r="M396">
        <f>-185.895757469231*(0.3)</f>
        <v>-55.768727240769238</v>
      </c>
      <c r="N396">
        <f>-168.996143153846*(0.3)</f>
        <v>-50.698842946153846</v>
      </c>
    </row>
    <row r="397" spans="1:14" x14ac:dyDescent="0.25">
      <c r="A397">
        <f>124.5400306*(0.3)</f>
        <v>37.362009179999994</v>
      </c>
      <c r="B397">
        <f>-9.58000235384615*(0.3)</f>
        <v>-2.8740007061538457</v>
      </c>
      <c r="C397">
        <f>-28.7400070615385*(0.3)</f>
        <v>-8.6220021184615359</v>
      </c>
      <c r="D397">
        <f>-9.58000235384615*(0.3)</f>
        <v>-2.8740007061538457</v>
      </c>
      <c r="E397">
        <f>-9.58000235384615*(0.3)</f>
        <v>-2.8740007061538457</v>
      </c>
      <c r="F397">
        <f>-9.58000235384615*(0.3)</f>
        <v>-2.8740007061538457</v>
      </c>
      <c r="G397">
        <f>-5.74800141230769*(0.3)</f>
        <v>-1.7244004236923074</v>
      </c>
      <c r="H397">
        <f>-9.58000235384615*(0.3)</f>
        <v>-2.8740007061538457</v>
      </c>
      <c r="I397">
        <f>-9.58000235384615*(0.3)</f>
        <v>-2.8740007061538457</v>
      </c>
      <c r="J397">
        <f>1.91600047076923*(0.3)</f>
        <v>0.57480014123076906</v>
      </c>
      <c r="K397">
        <f>-9.58000235384615*(0.3)</f>
        <v>-2.8740007061538457</v>
      </c>
      <c r="L397">
        <f>-4.69420115338461*(0.3)</f>
        <v>-1.4082603460153844</v>
      </c>
      <c r="M397">
        <f>-10.5380025892308*(0.3)</f>
        <v>-3.1614007767692307</v>
      </c>
      <c r="N397">
        <f>-9.58000235384615*(0.3)</f>
        <v>-2.8740007061538457</v>
      </c>
    </row>
    <row r="398" spans="1:14" x14ac:dyDescent="0.25">
      <c r="A398">
        <f>2491.051676*(0.3)</f>
        <v>747.31550279999999</v>
      </c>
      <c r="B398">
        <f>-191.619359692308*(0.3)</f>
        <v>-57.485807907692305</v>
      </c>
      <c r="C398">
        <f>-574.858079076923*(0.3)</f>
        <v>-172.45742372307691</v>
      </c>
      <c r="D398">
        <f>-191.619359692308*(0.3)</f>
        <v>-57.485807907692305</v>
      </c>
      <c r="E398">
        <f>-191.619359692308*(0.3)</f>
        <v>-57.485807907692305</v>
      </c>
      <c r="F398">
        <f>-191.619359692308*(0.3)</f>
        <v>-57.485807907692305</v>
      </c>
      <c r="G398">
        <f>-114.971615815385*(0.3)</f>
        <v>-34.491484744615384</v>
      </c>
      <c r="H398">
        <f>-191.619359692308*(0.3)</f>
        <v>-57.485807907692305</v>
      </c>
      <c r="I398">
        <f>-191.619359692308*(0.3)</f>
        <v>-57.485807907692305</v>
      </c>
      <c r="J398">
        <f>38.3238719384615*(0.3)</f>
        <v>11.497161581538458</v>
      </c>
      <c r="K398">
        <f>-191.619359692308*(0.3)</f>
        <v>-57.485807907692305</v>
      </c>
      <c r="L398">
        <f>-93.8934862492308*(0.3)</f>
        <v>-28.168045874769227</v>
      </c>
      <c r="M398">
        <f>-210.781295661538*(0.3)</f>
        <v>-63.234388698461544</v>
      </c>
      <c r="N398">
        <f>-191.619359692308*(0.3)</f>
        <v>-57.485807907692305</v>
      </c>
    </row>
    <row r="399" spans="1:14" x14ac:dyDescent="0.25">
      <c r="A399">
        <f>133.4931877*(0.3)</f>
        <v>40.047956309999996</v>
      </c>
      <c r="B399">
        <f>-10.2687067461538*(0.3)</f>
        <v>-3.0806120238461538</v>
      </c>
      <c r="C399">
        <f>-30.8061202384615*(0.3)</f>
        <v>-9.2418360715384615</v>
      </c>
      <c r="D399">
        <f>-10.2687067461538*(0.3)</f>
        <v>-3.0806120238461538</v>
      </c>
      <c r="E399">
        <f>-10.2687067461538*(0.3)</f>
        <v>-3.0806120238461538</v>
      </c>
      <c r="F399">
        <f>-10.2687067461538*(0.3)</f>
        <v>-3.0806120238461538</v>
      </c>
      <c r="G399">
        <f>-6.16122404769231*(0.3)</f>
        <v>-1.8483672143076921</v>
      </c>
      <c r="H399">
        <f>-10.2687067461538*(0.3)</f>
        <v>-3.0806120238461538</v>
      </c>
      <c r="I399">
        <f>-10.2687067461538*(0.3)</f>
        <v>-3.0806120238461538</v>
      </c>
      <c r="J399">
        <f>2.05374134923077*(0.3)</f>
        <v>0.61612240476923064</v>
      </c>
      <c r="K399">
        <f>-10.2687067461538*(0.3)</f>
        <v>-3.0806120238461538</v>
      </c>
      <c r="L399">
        <f>-5.03166630561538*(0.3)</f>
        <v>-1.5094998916846152</v>
      </c>
      <c r="M399">
        <f>-11.2955774207692*(0.3)</f>
        <v>-3.3886732262307695</v>
      </c>
      <c r="N399">
        <f>-10.2687067461538*(0.3)</f>
        <v>-3.0806120238461538</v>
      </c>
    </row>
    <row r="400" spans="1:14" x14ac:dyDescent="0.25">
      <c r="A400">
        <f>2790.255348*(0.3)</f>
        <v>837.07660440000006</v>
      </c>
      <c r="B400">
        <f>-214.635026769231*(0.3)</f>
        <v>-64.39050803076924</v>
      </c>
      <c r="C400">
        <f>-643.905080307692*(0.3)</f>
        <v>-193.17152409230772</v>
      </c>
      <c r="D400">
        <f>-214.635026769231*(0.3)</f>
        <v>-64.39050803076924</v>
      </c>
      <c r="E400">
        <f>-214.635026769231*(0.3)</f>
        <v>-64.39050803076924</v>
      </c>
      <c r="F400">
        <f>-214.635026769231*(0.3)</f>
        <v>-64.39050803076924</v>
      </c>
      <c r="G400">
        <f>-128.781016061538*(0.3)</f>
        <v>-38.634304818461544</v>
      </c>
      <c r="H400">
        <f>-214.635026769231*(0.3)</f>
        <v>-64.39050803076924</v>
      </c>
      <c r="I400">
        <f>-214.635026769231*(0.3)</f>
        <v>-64.39050803076924</v>
      </c>
      <c r="J400">
        <f>42.9270053538461*(0.3)</f>
        <v>12.878101606153844</v>
      </c>
      <c r="K400">
        <f>-214.635026769231*(0.3)</f>
        <v>-64.39050803076924</v>
      </c>
      <c r="L400">
        <f>-105.171163116923*(0.3)</f>
        <v>-31.551348935076923</v>
      </c>
      <c r="M400">
        <f>-236.098529446154*(0.3)</f>
        <v>-70.829558833846164</v>
      </c>
      <c r="N400">
        <f>-214.635026769231*(0.3)</f>
        <v>-64.39050803076924</v>
      </c>
    </row>
    <row r="401" spans="1:14" x14ac:dyDescent="0.25">
      <c r="A401">
        <f>-57.11220212*(0.3)</f>
        <v>-17.133660635999998</v>
      </c>
      <c r="B401">
        <f>4.39324631692308*(0.3)</f>
        <v>1.3179738950769229</v>
      </c>
      <c r="C401">
        <f>13.1797389507692*(0.3)</f>
        <v>3.9539216852307693</v>
      </c>
      <c r="D401">
        <f>4.39324631692308*(0.3)</f>
        <v>1.3179738950769229</v>
      </c>
      <c r="E401">
        <f>4.39324631692308*(0.3)</f>
        <v>1.3179738950769229</v>
      </c>
      <c r="F401">
        <f>4.39324631692308*(0.3)</f>
        <v>1.3179738950769229</v>
      </c>
      <c r="G401">
        <f>2.63594779015385*(0.3)</f>
        <v>0.7907843370461537</v>
      </c>
      <c r="H401">
        <f>4.39324631692308*(0.3)</f>
        <v>1.3179738950769229</v>
      </c>
      <c r="I401">
        <f>4.39324631692308*(0.3)</f>
        <v>1.3179738950769229</v>
      </c>
      <c r="J401">
        <f>-0.878649263384615*(0.3)</f>
        <v>-0.26359477901538453</v>
      </c>
      <c r="K401">
        <f>4.39324631692308*(0.3)</f>
        <v>1.3179738950769229</v>
      </c>
      <c r="L401">
        <f>2.15269069529231*(0.3)</f>
        <v>0.64580720858769225</v>
      </c>
      <c r="M401">
        <f>4.83257094861538*(0.3)</f>
        <v>1.4497712845846153</v>
      </c>
      <c r="N401">
        <f>4.39324631692308*(0.3)</f>
        <v>1.3179738950769229</v>
      </c>
    </row>
    <row r="402" spans="1:14" x14ac:dyDescent="0.25">
      <c r="A402">
        <f>-60.32719563*(0.3)</f>
        <v>-18.098158688999998</v>
      </c>
      <c r="B402">
        <f>4.64055351*(0.3)</f>
        <v>1.392166053</v>
      </c>
      <c r="C402">
        <f>13.92166053*(0.3)</f>
        <v>4.1764981590000003</v>
      </c>
      <c r="D402">
        <f>4.64055351*(0.3)</f>
        <v>1.392166053</v>
      </c>
      <c r="E402">
        <f>4.64055351*(0.3)</f>
        <v>1.392166053</v>
      </c>
      <c r="F402">
        <f>4.64055351*(0.3)</f>
        <v>1.392166053</v>
      </c>
      <c r="G402">
        <f>2.784332106*(0.3)</f>
        <v>0.8352996318</v>
      </c>
      <c r="H402">
        <f>4.64055351*(0.3)</f>
        <v>1.392166053</v>
      </c>
      <c r="I402">
        <f>4.64055351*(0.3)</f>
        <v>1.392166053</v>
      </c>
      <c r="J402">
        <f>-0.928110702*(0.3)</f>
        <v>-0.27843321059999993</v>
      </c>
      <c r="K402">
        <f>4.64055351*(0.3)</f>
        <v>1.392166053</v>
      </c>
      <c r="L402">
        <f>2.2738712199*(0.3)</f>
        <v>0.68216136596999999</v>
      </c>
      <c r="M402">
        <f>5.104608861*(0.3)</f>
        <v>1.5313826583000003</v>
      </c>
      <c r="N402">
        <f>4.64055351*(0.3)</f>
        <v>1.392166053</v>
      </c>
    </row>
    <row r="403" spans="1:14" x14ac:dyDescent="0.25">
      <c r="A403">
        <f>-97.94770509*(0.3)</f>
        <v>-29.384311526999998</v>
      </c>
      <c r="B403">
        <f>7.53443885307692*(0.3)</f>
        <v>2.2603316559230766</v>
      </c>
      <c r="C403">
        <f>22.6033165592308*(0.3)</f>
        <v>6.7809949677692307</v>
      </c>
      <c r="D403">
        <f>7.53443885307692*(0.3)</f>
        <v>2.2603316559230766</v>
      </c>
      <c r="E403">
        <f>7.53443885307692*(0.3)</f>
        <v>2.2603316559230766</v>
      </c>
      <c r="F403">
        <f>7.53443885307692*(0.3)</f>
        <v>2.2603316559230766</v>
      </c>
      <c r="G403">
        <f>4.52066331184615*(0.3)</f>
        <v>1.3561989935538459</v>
      </c>
      <c r="H403">
        <f>7.53443885307692*(0.3)</f>
        <v>2.2603316559230766</v>
      </c>
      <c r="I403">
        <f>7.53443885307692*(0.3)</f>
        <v>2.2603316559230766</v>
      </c>
      <c r="J403">
        <f>-1.50688777061538*(0.3)</f>
        <v>-0.45206633118461526</v>
      </c>
      <c r="K403">
        <f>7.53443885307692*(0.3)</f>
        <v>2.2603316559230766</v>
      </c>
      <c r="L403">
        <f>3.69187503800769*(0.3)</f>
        <v>1.1075625114023075</v>
      </c>
      <c r="M403">
        <f>8.28788273838462*(0.3)</f>
        <v>2.4863648215153846</v>
      </c>
      <c r="N403">
        <f>7.53443885307692*(0.3)</f>
        <v>2.2603316559230766</v>
      </c>
    </row>
    <row r="404" spans="1:14" x14ac:dyDescent="0.25">
      <c r="A404">
        <f>-80.14374179*(0.3)</f>
        <v>-24.043122537000002</v>
      </c>
      <c r="B404">
        <f>6.16490321461538*(0.3)</f>
        <v>1.8494709643846154</v>
      </c>
      <c r="C404">
        <f>18.4947096438462*(0.3)</f>
        <v>5.5484128931538459</v>
      </c>
      <c r="D404">
        <f>6.16490321461538*(0.3)</f>
        <v>1.8494709643846154</v>
      </c>
      <c r="E404">
        <f>6.16490321461538*(0.3)</f>
        <v>1.8494709643846154</v>
      </c>
      <c r="F404">
        <f>6.16490321461538*(0.3)</f>
        <v>1.8494709643846154</v>
      </c>
      <c r="G404">
        <f>3.69894192876923*(0.3)</f>
        <v>1.1096825786307691</v>
      </c>
      <c r="H404">
        <f>6.16490321461538*(0.3)</f>
        <v>1.8494709643846154</v>
      </c>
      <c r="I404">
        <f>6.16490321461538*(0.3)</f>
        <v>1.8494709643846154</v>
      </c>
      <c r="J404">
        <f>-1.23298064292308*(0.3)</f>
        <v>-0.36989419287692299</v>
      </c>
      <c r="K404">
        <f>6.16490321461538*(0.3)</f>
        <v>1.8494709643846154</v>
      </c>
      <c r="L404">
        <f>3.02080257516154*(0.3)</f>
        <v>0.90624077254846158</v>
      </c>
      <c r="M404">
        <f>6.78139353607692*(0.3)</f>
        <v>2.0344180608230769</v>
      </c>
      <c r="N404">
        <f>6.16490321461538*(0.3)</f>
        <v>1.8494709643846154</v>
      </c>
    </row>
    <row r="405" spans="1:14" x14ac:dyDescent="0.25">
      <c r="A405">
        <f>-146.6362107*(0.3)</f>
        <v>-43.990863209999993</v>
      </c>
      <c r="B405">
        <f>11.2797085153846*(0.3)</f>
        <v>3.3839125546153843</v>
      </c>
      <c r="C405">
        <f>33.8391255461538*(0.3)</f>
        <v>10.151737663846154</v>
      </c>
      <c r="D405">
        <f>11.2797085153846*(0.3)</f>
        <v>3.3839125546153843</v>
      </c>
      <c r="E405">
        <f>11.2797085153846*(0.3)</f>
        <v>3.3839125546153843</v>
      </c>
      <c r="F405">
        <f>11.2797085153846*(0.3)</f>
        <v>3.3839125546153843</v>
      </c>
      <c r="G405">
        <f>6.76782510923077*(0.3)</f>
        <v>2.0303475327692304</v>
      </c>
      <c r="H405">
        <f>11.2797085153846*(0.3)</f>
        <v>3.3839125546153843</v>
      </c>
      <c r="I405">
        <f>11.2797085153846*(0.3)</f>
        <v>3.3839125546153843</v>
      </c>
      <c r="J405">
        <f>-2.25594170307692*(0.3)</f>
        <v>-0.67678251092307673</v>
      </c>
      <c r="K405">
        <f>11.2797085153846*(0.3)</f>
        <v>3.3839125546153843</v>
      </c>
      <c r="L405">
        <f>5.52705717253846*(0.3)</f>
        <v>1.6581171517615383</v>
      </c>
      <c r="M405">
        <f>12.4076793669231*(0.3)</f>
        <v>3.722303810076923</v>
      </c>
      <c r="N405">
        <f>11.2797085153846*(0.3)</f>
        <v>3.3839125546153843</v>
      </c>
    </row>
    <row r="406" spans="1:14" x14ac:dyDescent="0.25">
      <c r="A406">
        <f>-99.12073154*(0.3)</f>
        <v>-29.736219461999998</v>
      </c>
      <c r="B406">
        <f>7.62467165692308*(0.3)</f>
        <v>2.2874014970769228</v>
      </c>
      <c r="C406">
        <f>22.8740149707692*(0.3)</f>
        <v>6.8622044912307683</v>
      </c>
      <c r="D406">
        <f>7.62467165692308*(0.3)</f>
        <v>2.2874014970769228</v>
      </c>
      <c r="E406">
        <f>7.62467165692308*(0.3)</f>
        <v>2.2874014970769228</v>
      </c>
      <c r="F406">
        <f>7.62467165692308*(0.3)</f>
        <v>2.2874014970769228</v>
      </c>
      <c r="G406">
        <f>4.57480299415385*(0.3)</f>
        <v>1.3724408982461536</v>
      </c>
      <c r="H406">
        <f>7.62467165692308*(0.3)</f>
        <v>2.2874014970769228</v>
      </c>
      <c r="I406">
        <f>7.62467165692308*(0.3)</f>
        <v>2.2874014970769228</v>
      </c>
      <c r="J406">
        <f>-1.52493433138461*(0.3)</f>
        <v>-0.45748029941538443</v>
      </c>
      <c r="K406">
        <f>7.62467165692308*(0.3)</f>
        <v>2.2874014970769228</v>
      </c>
      <c r="L406">
        <f>3.73608911189231*(0.3)</f>
        <v>1.120826733567692</v>
      </c>
      <c r="M406">
        <f>8.38713882261538*(0.3)</f>
        <v>2.5161416467846149</v>
      </c>
      <c r="N406">
        <f>7.62467165692308*(0.3)</f>
        <v>2.2874014970769228</v>
      </c>
    </row>
    <row r="407" spans="1:14" x14ac:dyDescent="0.25">
      <c r="A407">
        <f>-197.5329603*(0.3)</f>
        <v>-59.259888090000004</v>
      </c>
      <c r="B407">
        <f>15.1948431*(0.3)</f>
        <v>4.5584529300000005</v>
      </c>
      <c r="C407">
        <f>45.5845293*(0.3)</f>
        <v>13.675358790000002</v>
      </c>
      <c r="D407">
        <f>15.1948431*(0.3)</f>
        <v>4.5584529300000005</v>
      </c>
      <c r="E407">
        <f>15.1948431*(0.3)</f>
        <v>4.5584529300000005</v>
      </c>
      <c r="F407">
        <f>15.1948431*(0.3)</f>
        <v>4.5584529300000005</v>
      </c>
      <c r="G407">
        <f>9.11690586*(0.3)</f>
        <v>2.7350717580000001</v>
      </c>
      <c r="H407">
        <f>15.1948431*(0.3)</f>
        <v>4.5584529300000005</v>
      </c>
      <c r="I407">
        <f>15.1948431*(0.3)</f>
        <v>4.5584529300000005</v>
      </c>
      <c r="J407">
        <f>-3.03896862*(0.3)</f>
        <v>-0.91169058599999975</v>
      </c>
      <c r="K407">
        <f>15.1948431*(0.3)</f>
        <v>4.5584529300000005</v>
      </c>
      <c r="L407">
        <f>7.445473119*(0.3)</f>
        <v>2.2336419357000001</v>
      </c>
      <c r="M407">
        <f>16.71432741*(0.3)</f>
        <v>5.0142982230000008</v>
      </c>
      <c r="N407">
        <f>15.1948431*(0.3)</f>
        <v>4.5584529300000005</v>
      </c>
    </row>
    <row r="408" spans="1:14" x14ac:dyDescent="0.25">
      <c r="A408">
        <f>-120.237809*(0.3)</f>
        <v>-36.071342699999995</v>
      </c>
      <c r="B408">
        <f>9.24906223076923*(0.3)</f>
        <v>2.774718669230769</v>
      </c>
      <c r="C408">
        <f>27.7471866923077*(0.3)</f>
        <v>8.3241560076923058</v>
      </c>
      <c r="D408">
        <f>9.24906223076923*(0.3)</f>
        <v>2.774718669230769</v>
      </c>
      <c r="E408">
        <f>9.24906223076923*(0.3)</f>
        <v>2.774718669230769</v>
      </c>
      <c r="F408">
        <f>9.24906223076923*(0.3)</f>
        <v>2.774718669230769</v>
      </c>
      <c r="G408">
        <f>5.54943733846154*(0.3)</f>
        <v>1.6648312015384614</v>
      </c>
      <c r="H408">
        <f>9.24906223076923*(0.3)</f>
        <v>2.774718669230769</v>
      </c>
      <c r="I408">
        <f>9.24906223076923*(0.3)</f>
        <v>2.774718669230769</v>
      </c>
      <c r="J408">
        <f>-1.84981244615385*(0.3)</f>
        <v>-0.5549437338461537</v>
      </c>
      <c r="K408">
        <f>9.24906223076923*(0.3)</f>
        <v>2.774718669230769</v>
      </c>
      <c r="L408">
        <f>4.53204049307692*(0.3)</f>
        <v>1.3596121479230767</v>
      </c>
      <c r="M408">
        <f>10.1739684538462*(0.3)</f>
        <v>3.0521905361538462</v>
      </c>
      <c r="N408">
        <f>9.24906223076923*(0.3)</f>
        <v>2.774718669230769</v>
      </c>
    </row>
    <row r="409" spans="1:14" x14ac:dyDescent="0.25">
      <c r="A409">
        <f>-270.636571*(0.3)</f>
        <v>-81.190971300000001</v>
      </c>
      <c r="B409">
        <f>20.8181977692308*(0.3)</f>
        <v>6.245459330769231</v>
      </c>
      <c r="C409">
        <f>62.4545933076923*(0.3)</f>
        <v>18.736377992307695</v>
      </c>
      <c r="D409">
        <f>20.8181977692308*(0.3)</f>
        <v>6.245459330769231</v>
      </c>
      <c r="E409">
        <f>20.8181977692308*(0.3)</f>
        <v>6.245459330769231</v>
      </c>
      <c r="F409">
        <f>20.8181977692308*(0.3)</f>
        <v>6.245459330769231</v>
      </c>
      <c r="G409">
        <f>12.4909186615385*(0.3)</f>
        <v>3.7472755984615382</v>
      </c>
      <c r="H409">
        <f>20.8181977692308*(0.3)</f>
        <v>6.245459330769231</v>
      </c>
      <c r="I409">
        <f>20.8181977692308*(0.3)</f>
        <v>6.245459330769231</v>
      </c>
      <c r="J409">
        <f>-4.16363955384615*(0.3)</f>
        <v>-1.2490918661538462</v>
      </c>
      <c r="K409">
        <f>20.8181977692308*(0.3)</f>
        <v>6.245459330769231</v>
      </c>
      <c r="L409">
        <f>10.2009169069231*(0.3)</f>
        <v>3.0602750720769234</v>
      </c>
      <c r="M409">
        <f>22.9000175461539*(0.3)</f>
        <v>6.8700052638461555</v>
      </c>
      <c r="N409">
        <f>20.8181977692308*(0.3)</f>
        <v>6.245459330769231</v>
      </c>
    </row>
    <row r="410" spans="1:14" x14ac:dyDescent="0.25">
      <c r="A410">
        <f>-141.3773372*(0.3)</f>
        <v>-42.41320116</v>
      </c>
      <c r="B410">
        <f>10.8751797846154*(0.3)</f>
        <v>3.2625539353846156</v>
      </c>
      <c r="C410">
        <f>32.6255393538462*(0.3)</f>
        <v>9.7876618061538476</v>
      </c>
      <c r="D410">
        <f>10.8751797846154*(0.3)</f>
        <v>3.2625539353846156</v>
      </c>
      <c r="E410">
        <f>10.8751797846154*(0.3)</f>
        <v>3.2625539353846156</v>
      </c>
      <c r="F410">
        <f>10.8751797846154*(0.3)</f>
        <v>3.2625539353846156</v>
      </c>
      <c r="G410">
        <f>6.52510787076923*(0.3)</f>
        <v>1.9575323612307693</v>
      </c>
      <c r="H410">
        <f>10.8751797846154*(0.3)</f>
        <v>3.2625539353846156</v>
      </c>
      <c r="I410">
        <f>10.8751797846154*(0.3)</f>
        <v>3.2625539353846156</v>
      </c>
      <c r="J410">
        <f>-2.17503595692308*(0.3)</f>
        <v>-0.652510787076923</v>
      </c>
      <c r="K410">
        <f>10.8751797846154*(0.3)</f>
        <v>3.2625539353846156</v>
      </c>
      <c r="L410">
        <f>5.32883809446154*(0.3)</f>
        <v>1.5986514283384614</v>
      </c>
      <c r="M410">
        <f>11.9626977630769*(0.3)</f>
        <v>3.5888093289230771</v>
      </c>
      <c r="N410">
        <f>10.8751797846154*(0.3)</f>
        <v>3.2625539353846156</v>
      </c>
    </row>
    <row r="411" spans="1:14" x14ac:dyDescent="0.25">
      <c r="A411">
        <f>-377.6736973*(0.3)</f>
        <v>-113.30210919</v>
      </c>
      <c r="B411">
        <f>29.0518228692308*(0.3)</f>
        <v>8.7155468607692299</v>
      </c>
      <c r="C411">
        <f>87.1554686076923*(0.3)</f>
        <v>26.146640582307693</v>
      </c>
      <c r="D411">
        <f>29.0518228692308*(0.3)</f>
        <v>8.7155468607692299</v>
      </c>
      <c r="E411">
        <f>29.0518228692308*(0.3)</f>
        <v>8.7155468607692299</v>
      </c>
      <c r="F411">
        <f>29.0518228692308*(0.3)</f>
        <v>8.7155468607692299</v>
      </c>
      <c r="G411">
        <f>17.4310937215385*(0.3)</f>
        <v>5.2293281164615379</v>
      </c>
      <c r="H411">
        <f>29.0518228692308*(0.3)</f>
        <v>8.7155468607692299</v>
      </c>
      <c r="I411">
        <f>29.0518228692308*(0.3)</f>
        <v>8.7155468607692299</v>
      </c>
      <c r="J411">
        <f>-5.81036457384615*(0.3)</f>
        <v>-1.7431093721538458</v>
      </c>
      <c r="K411">
        <f>29.0518228692308*(0.3)</f>
        <v>8.7155468607692299</v>
      </c>
      <c r="L411">
        <f>14.2353932059231*(0.3)</f>
        <v>4.2706179617769227</v>
      </c>
      <c r="M411">
        <f>31.9570051561538*(0.3)</f>
        <v>9.5871015468461547</v>
      </c>
      <c r="N411">
        <f>29.0518228692308*(0.3)</f>
        <v>8.7155468607692299</v>
      </c>
    </row>
    <row r="412" spans="1:14" x14ac:dyDescent="0.25">
      <c r="A412">
        <f>-161.8537387*(0.3)</f>
        <v>-48.556121609999998</v>
      </c>
      <c r="B412">
        <f>12.4502875923077*(0.3)</f>
        <v>3.7350862776923073</v>
      </c>
      <c r="C412">
        <f>37.3508627769231*(0.3)</f>
        <v>11.205258833076924</v>
      </c>
      <c r="D412">
        <f>12.4502875923077*(0.3)</f>
        <v>3.7350862776923073</v>
      </c>
      <c r="E412">
        <f>12.4502875923077*(0.3)</f>
        <v>3.7350862776923073</v>
      </c>
      <c r="F412">
        <f>12.4502875923077*(0.3)</f>
        <v>3.7350862776923073</v>
      </c>
      <c r="G412">
        <f>7.47017255538461*(0.3)</f>
        <v>2.2410517666153842</v>
      </c>
      <c r="H412">
        <f>12.4502875923077*(0.3)</f>
        <v>3.7350862776923073</v>
      </c>
      <c r="I412">
        <f>12.4502875923077*(0.3)</f>
        <v>3.7350862776923073</v>
      </c>
      <c r="J412">
        <f>-2.49005751846154*(0.3)</f>
        <v>-0.74701725553846132</v>
      </c>
      <c r="K412">
        <f>12.4502875923077*(0.3)</f>
        <v>3.7350862776923073</v>
      </c>
      <c r="L412">
        <f>6.10064092023077*(0.3)</f>
        <v>1.8301922760692306</v>
      </c>
      <c r="M412">
        <f>13.6953163515385*(0.3)</f>
        <v>4.1085949054615387</v>
      </c>
      <c r="N412">
        <f>12.4502875923077*(0.3)</f>
        <v>3.7350862776923073</v>
      </c>
    </row>
    <row r="413" spans="1:14" x14ac:dyDescent="0.25">
      <c r="A413">
        <f>-518.7019777*(0.3)</f>
        <v>-155.61059331000001</v>
      </c>
      <c r="B413">
        <f>39.9001521307692*(0.3)</f>
        <v>11.97004563923077</v>
      </c>
      <c r="C413">
        <f>119.700456392308*(0.3)</f>
        <v>35.910136917692306</v>
      </c>
      <c r="D413">
        <f>39.9001521307692*(0.3)</f>
        <v>11.97004563923077</v>
      </c>
      <c r="E413">
        <f>39.9001521307692*(0.3)</f>
        <v>11.97004563923077</v>
      </c>
      <c r="F413">
        <f>39.9001521307692*(0.3)</f>
        <v>11.97004563923077</v>
      </c>
      <c r="G413">
        <f>23.9400912784615*(0.3)</f>
        <v>7.182027383538462</v>
      </c>
      <c r="H413">
        <f>39.9001521307692*(0.3)</f>
        <v>11.97004563923077</v>
      </c>
      <c r="I413">
        <f>39.9001521307692*(0.3)</f>
        <v>11.97004563923077</v>
      </c>
      <c r="J413">
        <f>-7.98003042615385*(0.3)</f>
        <v>-2.3940091278461537</v>
      </c>
      <c r="K413">
        <f>39.9001521307692*(0.3)</f>
        <v>11.97004563923077</v>
      </c>
      <c r="L413">
        <f>19.5510745440769*(0.3)</f>
        <v>5.8653223632230773</v>
      </c>
      <c r="M413">
        <f>43.8901673438462*(0.3)</f>
        <v>13.167050203153849</v>
      </c>
      <c r="N413">
        <f>39.9001521307692*(0.3)</f>
        <v>11.97004563923077</v>
      </c>
    </row>
    <row r="414" spans="1:14" x14ac:dyDescent="0.25">
      <c r="A414">
        <f>-179.9433027*(0.3)</f>
        <v>-53.982990809999997</v>
      </c>
      <c r="B414">
        <f>13.8417925153846*(0.3)</f>
        <v>4.1525377546153841</v>
      </c>
      <c r="C414">
        <f>41.5253775461538*(0.3)</f>
        <v>12.457613263846154</v>
      </c>
      <c r="D414">
        <f>13.8417925153846*(0.3)</f>
        <v>4.1525377546153841</v>
      </c>
      <c r="E414">
        <f>13.8417925153846*(0.3)</f>
        <v>4.1525377546153841</v>
      </c>
      <c r="F414">
        <f>13.8417925153846*(0.3)</f>
        <v>4.1525377546153841</v>
      </c>
      <c r="G414">
        <f>8.30507550923077*(0.3)</f>
        <v>2.4915226527692305</v>
      </c>
      <c r="H414">
        <f>13.8417925153846*(0.3)</f>
        <v>4.1525377546153841</v>
      </c>
      <c r="I414">
        <f>13.8417925153846*(0.3)</f>
        <v>4.1525377546153841</v>
      </c>
      <c r="J414">
        <f>-2.76835850307692*(0.3)</f>
        <v>-0.83050755092307671</v>
      </c>
      <c r="K414">
        <f>13.8417925153846*(0.3)</f>
        <v>4.1525377546153841</v>
      </c>
      <c r="L414">
        <f>6.78247833253846*(0.3)</f>
        <v>2.0347434997615381</v>
      </c>
      <c r="M414">
        <f>15.2259717669231*(0.3)</f>
        <v>4.5677915300769234</v>
      </c>
      <c r="N414">
        <f>13.8417925153846*(0.3)</f>
        <v>4.1525377546153841</v>
      </c>
    </row>
    <row r="415" spans="1:14" x14ac:dyDescent="0.25">
      <c r="A415">
        <f>-734.6557286*(0.3)</f>
        <v>-220.39671858</v>
      </c>
      <c r="B415">
        <f>56.5119791230769*(0.3)</f>
        <v>16.953593736923075</v>
      </c>
      <c r="C415">
        <f>169.535937369231*(0.3)</f>
        <v>50.860781210769225</v>
      </c>
      <c r="D415">
        <f>56.5119791230769*(0.3)</f>
        <v>16.953593736923075</v>
      </c>
      <c r="E415">
        <f>56.5119791230769*(0.3)</f>
        <v>16.953593736923075</v>
      </c>
      <c r="F415">
        <f>56.5119791230769*(0.3)</f>
        <v>16.953593736923075</v>
      </c>
      <c r="G415">
        <f>33.9071874738462*(0.3)</f>
        <v>10.172156242153845</v>
      </c>
      <c r="H415">
        <f>56.5119791230769*(0.3)</f>
        <v>16.953593736923075</v>
      </c>
      <c r="I415">
        <f>56.5119791230769*(0.3)</f>
        <v>16.953593736923075</v>
      </c>
      <c r="J415">
        <f>-11.3023958246154*(0.3)</f>
        <v>-3.3907187473846143</v>
      </c>
      <c r="K415">
        <f>56.5119791230769*(0.3)</f>
        <v>16.953593736923075</v>
      </c>
      <c r="L415">
        <f>27.6908697703077*(0.3)</f>
        <v>8.3072609310923067</v>
      </c>
      <c r="M415">
        <f>62.1631770353846*(0.3)</f>
        <v>18.648953110615384</v>
      </c>
      <c r="N415">
        <f>56.5119791230769*(0.3)</f>
        <v>16.953593736923075</v>
      </c>
    </row>
    <row r="416" spans="1:14" x14ac:dyDescent="0.25">
      <c r="A416">
        <f>-200.3598637*(0.3)</f>
        <v>-60.107959109999996</v>
      </c>
      <c r="B416">
        <f>15.4122972076923*(0.3)</f>
        <v>4.6236891623076923</v>
      </c>
      <c r="C416">
        <f>46.2368916230769*(0.3)</f>
        <v>13.871067486923078</v>
      </c>
      <c r="D416">
        <f>15.4122972076923*(0.3)</f>
        <v>4.6236891623076923</v>
      </c>
      <c r="E416">
        <f>15.4122972076923*(0.3)</f>
        <v>4.6236891623076923</v>
      </c>
      <c r="F416">
        <f>15.4122972076923*(0.3)</f>
        <v>4.6236891623076923</v>
      </c>
      <c r="G416">
        <f>9.24737832461538*(0.3)</f>
        <v>2.7742134973846153</v>
      </c>
      <c r="H416">
        <f>15.4122972076923*(0.3)</f>
        <v>4.6236891623076923</v>
      </c>
      <c r="I416">
        <f>15.4122972076923*(0.3)</f>
        <v>4.6236891623076923</v>
      </c>
      <c r="J416">
        <f>-3.08245944153846*(0.3)</f>
        <v>-0.92473783246153829</v>
      </c>
      <c r="K416">
        <f>15.4122972076923*(0.3)</f>
        <v>4.6236891623076923</v>
      </c>
      <c r="L416">
        <f>7.55202563176923*(0.3)</f>
        <v>2.2656076895307691</v>
      </c>
      <c r="M416">
        <f>16.9535269284615*(0.3)</f>
        <v>5.0860580785384615</v>
      </c>
      <c r="N416">
        <f>15.4122972076923*(0.3)</f>
        <v>4.6236891623076923</v>
      </c>
    </row>
    <row r="417" spans="1:14" x14ac:dyDescent="0.25">
      <c r="A417">
        <f>-27.40743958*(0.3)</f>
        <v>-8.2222318739999984</v>
      </c>
      <c r="B417">
        <f>2.10826458307692*(0.3)</f>
        <v>0.63247937492307682</v>
      </c>
      <c r="C417">
        <f>6.32479374923077*(0.3)</f>
        <v>1.8974381247692305</v>
      </c>
      <c r="D417">
        <f>2.10826458307692*(0.3)</f>
        <v>0.63247937492307682</v>
      </c>
      <c r="E417">
        <f>2.10826458307692*(0.3)</f>
        <v>0.63247937492307682</v>
      </c>
      <c r="F417">
        <f>2.10826458307692*(0.3)</f>
        <v>0.63247937492307682</v>
      </c>
      <c r="G417">
        <f>1.26495874984615*(0.3)</f>
        <v>0.37948762495384608</v>
      </c>
      <c r="H417">
        <f>2.10826458307692*(0.3)</f>
        <v>0.63247937492307682</v>
      </c>
      <c r="I417">
        <f>2.10826458307692*(0.3)</f>
        <v>0.63247937492307682</v>
      </c>
      <c r="J417">
        <f>-0.421652916615385*(0.3)</f>
        <v>-0.12649587498461534</v>
      </c>
      <c r="K417">
        <f>2.10826458307692*(0.3)</f>
        <v>0.63247937492307682</v>
      </c>
      <c r="L417">
        <f>1.03304964570769*(0.3)</f>
        <v>0.30991489371230763</v>
      </c>
      <c r="M417">
        <f>2.31909104138462*(0.3)</f>
        <v>0.69572731241538466</v>
      </c>
      <c r="N417">
        <f>2.10826458307692*(0.3)</f>
        <v>0.63247937492307682</v>
      </c>
    </row>
    <row r="418" spans="1:14" x14ac:dyDescent="0.25">
      <c r="A418">
        <f>-113.289693*(0.3)</f>
        <v>-33.986907899999999</v>
      </c>
      <c r="B418">
        <f>8.71459176923077*(0.3)</f>
        <v>2.6143775307692305</v>
      </c>
      <c r="C418">
        <f>26.1437753076923*(0.3)</f>
        <v>7.8431325923076916</v>
      </c>
      <c r="D418">
        <f>8.71459176923077*(0.3)</f>
        <v>2.6143775307692305</v>
      </c>
      <c r="E418">
        <f>8.71459176923077*(0.3)</f>
        <v>2.6143775307692305</v>
      </c>
      <c r="F418">
        <f>8.71459176923077*(0.3)</f>
        <v>2.6143775307692305</v>
      </c>
      <c r="G418">
        <f>5.22875506153846*(0.3)</f>
        <v>1.5686265184615382</v>
      </c>
      <c r="H418">
        <f>8.71459176923077*(0.3)</f>
        <v>2.6143775307692305</v>
      </c>
      <c r="I418">
        <f>8.71459176923077*(0.3)</f>
        <v>2.6143775307692305</v>
      </c>
      <c r="J418">
        <f>-1.74291835384615*(0.3)</f>
        <v>-0.52287550615384593</v>
      </c>
      <c r="K418">
        <f>8.71459176923077*(0.3)</f>
        <v>2.6143775307692305</v>
      </c>
      <c r="L418">
        <f>4.27014996692308*(0.3)</f>
        <v>1.281044990076923</v>
      </c>
      <c r="M418">
        <f>9.58605094615385*(0.3)</f>
        <v>2.8758152838461535</v>
      </c>
      <c r="N418">
        <f>8.71459176923077*(0.3)</f>
        <v>2.6143775307692305</v>
      </c>
    </row>
    <row r="419" spans="1:14" x14ac:dyDescent="0.25">
      <c r="A419">
        <f>-41.06719922*(0.3)</f>
        <v>-12.320159766</v>
      </c>
      <c r="B419">
        <f>3.15901532461538*(0.3)</f>
        <v>0.94770459738461532</v>
      </c>
      <c r="C419">
        <f>9.47704597384615*(0.3)</f>
        <v>2.8431137921538459</v>
      </c>
      <c r="D419">
        <f>3.15901532461538*(0.3)</f>
        <v>0.94770459738461532</v>
      </c>
      <c r="E419">
        <f>3.15901532461538*(0.3)</f>
        <v>0.94770459738461532</v>
      </c>
      <c r="F419">
        <f>3.15901532461538*(0.3)</f>
        <v>0.94770459738461532</v>
      </c>
      <c r="G419">
        <f>1.89540919476923*(0.3)</f>
        <v>0.56862275843076915</v>
      </c>
      <c r="H419">
        <f>3.15901532461538*(0.3)</f>
        <v>0.94770459738461532</v>
      </c>
      <c r="I419">
        <f>3.15901532461538*(0.3)</f>
        <v>0.94770459738461532</v>
      </c>
      <c r="J419">
        <f>-0.631803064923077*(0.3)</f>
        <v>-0.18954091947692303</v>
      </c>
      <c r="K419">
        <f>3.15901532461538*(0.3)</f>
        <v>0.94770459738461532</v>
      </c>
      <c r="L419">
        <f>1.54791750906154*(0.3)</f>
        <v>0.46437525271846153</v>
      </c>
      <c r="M419">
        <f>3.47491685707692*(0.3)</f>
        <v>1.042475057123077</v>
      </c>
      <c r="N419">
        <f>3.15901532461538*(0.3)</f>
        <v>0.94770459738461532</v>
      </c>
    </row>
    <row r="420" spans="1:14" x14ac:dyDescent="0.25">
      <c r="A420">
        <f>-146.0111237*(0.3)</f>
        <v>-43.803337110000001</v>
      </c>
      <c r="B420">
        <f>11.2316249*(0.3)</f>
        <v>3.3694874700000006</v>
      </c>
      <c r="C420">
        <f>33.6948747*(0.3)</f>
        <v>10.108462410000001</v>
      </c>
      <c r="D420">
        <f>11.2316249*(0.3)</f>
        <v>3.3694874700000006</v>
      </c>
      <c r="E420">
        <f>11.2316249*(0.3)</f>
        <v>3.3694874700000006</v>
      </c>
      <c r="F420">
        <f>11.2316249*(0.3)</f>
        <v>3.3694874700000006</v>
      </c>
      <c r="G420">
        <f>6.73897494*(0.3)</f>
        <v>2.0216924820000002</v>
      </c>
      <c r="H420">
        <f>11.2316249*(0.3)</f>
        <v>3.3694874700000006</v>
      </c>
      <c r="I420">
        <f>11.2316249*(0.3)</f>
        <v>3.3694874700000006</v>
      </c>
      <c r="J420">
        <f>-2.24632498*(0.3)</f>
        <v>-0.67389749399999987</v>
      </c>
      <c r="K420">
        <f>11.2316249*(0.3)</f>
        <v>3.3694874700000006</v>
      </c>
      <c r="L420">
        <f>5.503496201*(0.3)</f>
        <v>1.6510488603000002</v>
      </c>
      <c r="M420">
        <f>12.35478739*(0.3)</f>
        <v>3.7064362170000003</v>
      </c>
      <c r="N420">
        <f>11.2316249*(0.3)</f>
        <v>3.3694874700000006</v>
      </c>
    </row>
    <row r="421" spans="1:14" x14ac:dyDescent="0.25">
      <c r="A421">
        <f>-57.34999247*(0.3)</f>
        <v>-17.204997741</v>
      </c>
      <c r="B421">
        <f>4.41153788230769*(0.3)</f>
        <v>1.3234613646923075</v>
      </c>
      <c r="C421">
        <f>13.2346136469231*(0.3)</f>
        <v>3.9703840940769228</v>
      </c>
      <c r="D421">
        <f>4.41153788230769*(0.3)</f>
        <v>1.3234613646923075</v>
      </c>
      <c r="E421">
        <f>4.41153788230769*(0.3)</f>
        <v>1.3234613646923075</v>
      </c>
      <c r="F421">
        <f>4.41153788230769*(0.3)</f>
        <v>1.3234613646923075</v>
      </c>
      <c r="G421">
        <f>2.64692272938461*(0.3)</f>
        <v>0.7940768188153845</v>
      </c>
      <c r="H421">
        <f>4.41153788230769*(0.3)</f>
        <v>1.3234613646923075</v>
      </c>
      <c r="I421">
        <f>4.41153788230769*(0.3)</f>
        <v>1.3234613646923075</v>
      </c>
      <c r="J421">
        <f>-0.882307576461538*(0.3)</f>
        <v>-0.26469227293846143</v>
      </c>
      <c r="K421">
        <f>4.41153788230769*(0.3)</f>
        <v>1.3234613646923075</v>
      </c>
      <c r="L421">
        <f>2.16165356233077*(0.3)</f>
        <v>0.6484960686992306</v>
      </c>
      <c r="M421">
        <f>4.85269167053846*(0.3)</f>
        <v>1.4558075011615383</v>
      </c>
      <c r="N421">
        <f>4.41153788230769*(0.3)</f>
        <v>1.3234613646923075</v>
      </c>
    </row>
    <row r="422" spans="1:14" x14ac:dyDescent="0.25">
      <c r="A422">
        <f>-185.5839937*(0.3)</f>
        <v>-55.675198110000004</v>
      </c>
      <c r="B422">
        <f>14.2756918230769*(0.3)</f>
        <v>4.2827075469230769</v>
      </c>
      <c r="C422">
        <f>42.8270754692308*(0.3)</f>
        <v>12.848122640769231</v>
      </c>
      <c r="D422">
        <f>14.2756918230769*(0.3)</f>
        <v>4.2827075469230769</v>
      </c>
      <c r="E422">
        <f>14.2756918230769*(0.3)</f>
        <v>4.2827075469230769</v>
      </c>
      <c r="F422">
        <f>14.2756918230769*(0.3)</f>
        <v>4.2827075469230769</v>
      </c>
      <c r="G422">
        <f>8.56541509384615*(0.3)</f>
        <v>2.5696245281538461</v>
      </c>
      <c r="H422">
        <f>14.2756918230769*(0.3)</f>
        <v>4.2827075469230769</v>
      </c>
      <c r="I422">
        <f>14.2756918230769*(0.3)</f>
        <v>4.2827075469230769</v>
      </c>
      <c r="J422">
        <f>-2.85513836461538*(0.3)</f>
        <v>-0.85654150938461526</v>
      </c>
      <c r="K422">
        <f>14.2756918230769*(0.3)</f>
        <v>4.2827075469230769</v>
      </c>
      <c r="L422">
        <f>6.99508899330769*(0.3)</f>
        <v>2.0985266979923076</v>
      </c>
      <c r="M422">
        <f>15.7032610053846*(0.3)</f>
        <v>4.710978301615385</v>
      </c>
      <c r="N422">
        <f>14.2756918230769*(0.3)</f>
        <v>4.2827075469230769</v>
      </c>
    </row>
    <row r="423" spans="1:14" x14ac:dyDescent="0.25">
      <c r="A423">
        <f>-75.58675836*(0.3)</f>
        <v>-22.676027508000001</v>
      </c>
      <c r="B423">
        <f>5.81436602769231*(0.3)</f>
        <v>1.7443098083076922</v>
      </c>
      <c r="C423">
        <f>17.4430980830769*(0.3)</f>
        <v>5.2329294249230767</v>
      </c>
      <c r="D423">
        <f>5.81436602769231*(0.3)</f>
        <v>1.7443098083076922</v>
      </c>
      <c r="E423">
        <f>5.81436602769231*(0.3)</f>
        <v>1.7443098083076922</v>
      </c>
      <c r="F423">
        <f>5.81436602769231*(0.3)</f>
        <v>1.7443098083076922</v>
      </c>
      <c r="G423">
        <f>3.48861961661538*(0.3)</f>
        <v>1.0465858849846152</v>
      </c>
      <c r="H423">
        <f>5.81436602769231*(0.3)</f>
        <v>1.7443098083076922</v>
      </c>
      <c r="I423">
        <f>5.81436602769231*(0.3)</f>
        <v>1.7443098083076922</v>
      </c>
      <c r="J423">
        <f>-1.16287320553846*(0.3)</f>
        <v>-0.34886196166153832</v>
      </c>
      <c r="K423">
        <f>5.81436602769231*(0.3)</f>
        <v>1.7443098083076922</v>
      </c>
      <c r="L423">
        <f>2.84903935356923*(0.3)</f>
        <v>0.85471180607076913</v>
      </c>
      <c r="M423">
        <f>6.39580263046154*(0.3)</f>
        <v>1.9187407891384616</v>
      </c>
      <c r="N423">
        <f>5.81436602769231*(0.3)</f>
        <v>1.7443098083076922</v>
      </c>
    </row>
    <row r="424" spans="1:14" x14ac:dyDescent="0.25">
      <c r="A424">
        <f>-224.1384487*(0.3)</f>
        <v>-67.241534610000002</v>
      </c>
      <c r="B424">
        <f>17.2414191307692*(0.3)</f>
        <v>5.1724257392307686</v>
      </c>
      <c r="C424">
        <f>51.7242573923077*(0.3)</f>
        <v>15.517277217692307</v>
      </c>
      <c r="D424">
        <f>17.2414191307692*(0.3)</f>
        <v>5.1724257392307686</v>
      </c>
      <c r="E424">
        <f>17.2414191307692*(0.3)</f>
        <v>5.1724257392307686</v>
      </c>
      <c r="F424">
        <f>17.2414191307692*(0.3)</f>
        <v>5.1724257392307686</v>
      </c>
      <c r="G424">
        <f>10.3448514784615*(0.3)</f>
        <v>3.1034554435384609</v>
      </c>
      <c r="H424">
        <f>17.2414191307692*(0.3)</f>
        <v>5.1724257392307686</v>
      </c>
      <c r="I424">
        <f>17.2414191307692*(0.3)</f>
        <v>5.1724257392307686</v>
      </c>
      <c r="J424">
        <f>-3.44828382615385*(0.3)</f>
        <v>-1.0344851478461536</v>
      </c>
      <c r="K424">
        <f>17.2414191307692*(0.3)</f>
        <v>5.1724257392307686</v>
      </c>
      <c r="L424">
        <f>8.44829537407692*(0.3)</f>
        <v>2.5344886122230768</v>
      </c>
      <c r="M424">
        <f>18.9655610438462*(0.3)</f>
        <v>5.6896683131538461</v>
      </c>
      <c r="N424">
        <f>17.2414191307692*(0.3)</f>
        <v>5.1724257392307686</v>
      </c>
    </row>
    <row r="425" spans="1:14" x14ac:dyDescent="0.25">
      <c r="A425">
        <f>-90.40240516*(0.3)</f>
        <v>-27.120721547999999</v>
      </c>
      <c r="B425">
        <f>6.95403116615385*(0.3)</f>
        <v>2.0862093498461536</v>
      </c>
      <c r="C425">
        <f>20.8620934984615*(0.3)</f>
        <v>6.2586280495384612</v>
      </c>
      <c r="D425">
        <f>6.95403116615385*(0.3)</f>
        <v>2.0862093498461536</v>
      </c>
      <c r="E425">
        <f>6.95403116615385*(0.3)</f>
        <v>2.0862093498461536</v>
      </c>
      <c r="F425">
        <f>6.95403116615385*(0.3)</f>
        <v>2.0862093498461536</v>
      </c>
      <c r="G425">
        <f>4.17241869969231*(0.3)</f>
        <v>1.2517256099076921</v>
      </c>
      <c r="H425">
        <f>6.95403116615385*(0.3)</f>
        <v>2.0862093498461536</v>
      </c>
      <c r="I425">
        <f>6.95403116615385*(0.3)</f>
        <v>2.0862093498461536</v>
      </c>
      <c r="J425">
        <f>-1.39080623323077*(0.3)</f>
        <v>-0.41724186996923068</v>
      </c>
      <c r="K425">
        <f>6.95403116615385*(0.3)</f>
        <v>2.0862093498461536</v>
      </c>
      <c r="L425">
        <f>3.40747527141538*(0.3)</f>
        <v>1.0222425814246152</v>
      </c>
      <c r="M425">
        <f>7.64943428276923*(0.3)</f>
        <v>2.2948302848307693</v>
      </c>
      <c r="N425">
        <f>6.95403116615385*(0.3)</f>
        <v>2.0862093498461536</v>
      </c>
    </row>
    <row r="426" spans="1:14" x14ac:dyDescent="0.25">
      <c r="A426">
        <f>-263.7034376*(0.3)</f>
        <v>-79.111031279999992</v>
      </c>
      <c r="B426">
        <f>20.2848798153846*(0.3)</f>
        <v>6.085463944615384</v>
      </c>
      <c r="C426">
        <f>60.8546394461538*(0.3)</f>
        <v>18.256391833846152</v>
      </c>
      <c r="D426">
        <f>20.2848798153846*(0.3)</f>
        <v>6.085463944615384</v>
      </c>
      <c r="E426">
        <f>20.2848798153846*(0.3)</f>
        <v>6.085463944615384</v>
      </c>
      <c r="F426">
        <f>20.2848798153846*(0.3)</f>
        <v>6.085463944615384</v>
      </c>
      <c r="G426">
        <f>12.1709278892308*(0.3)</f>
        <v>3.6512783667692301</v>
      </c>
      <c r="H426">
        <f>20.2848798153846*(0.3)</f>
        <v>6.085463944615384</v>
      </c>
      <c r="I426">
        <f>20.2848798153846*(0.3)</f>
        <v>6.085463944615384</v>
      </c>
      <c r="J426">
        <f>-4.05697596307692*(0.3)</f>
        <v>-1.2170927889230765</v>
      </c>
      <c r="K426">
        <f>20.2848798153846*(0.3)</f>
        <v>6.085463944615384</v>
      </c>
      <c r="L426">
        <f>9.93959110953846*(0.3)</f>
        <v>2.9818773328615378</v>
      </c>
      <c r="M426">
        <f>22.3133677969231*(0.3)</f>
        <v>6.6940103390769234</v>
      </c>
      <c r="N426">
        <f>20.2848798153846*(0.3)</f>
        <v>6.085463944615384</v>
      </c>
    </row>
    <row r="427" spans="1:14" x14ac:dyDescent="0.25">
      <c r="A427">
        <f>-113.7994704*(0.3)</f>
        <v>-34.13984112</v>
      </c>
      <c r="B427">
        <f>8.75380541538462*(0.3)</f>
        <v>2.6261416246153844</v>
      </c>
      <c r="C427">
        <f>26.2614162461538*(0.3)</f>
        <v>7.8784248738461535</v>
      </c>
      <c r="D427">
        <f>8.75380541538462*(0.3)</f>
        <v>2.6261416246153844</v>
      </c>
      <c r="E427">
        <f>8.75380541538462*(0.3)</f>
        <v>2.6261416246153844</v>
      </c>
      <c r="F427">
        <f>8.75380541538462*(0.3)</f>
        <v>2.6261416246153844</v>
      </c>
      <c r="G427">
        <f>5.25228324923077*(0.3)</f>
        <v>1.5756849747692305</v>
      </c>
      <c r="H427">
        <f>8.75380541538462*(0.3)</f>
        <v>2.6261416246153844</v>
      </c>
      <c r="I427">
        <f>8.75380541538462*(0.3)</f>
        <v>2.6261416246153844</v>
      </c>
      <c r="J427">
        <f>-1.75076108307692*(0.3)</f>
        <v>-0.52522832492307681</v>
      </c>
      <c r="K427">
        <f>8.75380541538462*(0.3)</f>
        <v>2.6261416246153844</v>
      </c>
      <c r="L427">
        <f>4.28936465353846*(0.3)</f>
        <v>1.2868093960615383</v>
      </c>
      <c r="M427">
        <f>9.62918595692308*(0.3)</f>
        <v>2.8887557870769229</v>
      </c>
      <c r="N427">
        <f>8.75380541538462*(0.3)</f>
        <v>2.6261416246153844</v>
      </c>
    </row>
    <row r="428" spans="1:14" x14ac:dyDescent="0.25">
      <c r="A428">
        <f>-304.3949154*(0.3)</f>
        <v>-91.318474620000003</v>
      </c>
      <c r="B428">
        <f>23.4149934923077*(0.3)</f>
        <v>7.0244980476923082</v>
      </c>
      <c r="C428">
        <f>70.2449804769231*(0.3)</f>
        <v>21.073494143076921</v>
      </c>
      <c r="D428">
        <f>23.4149934923077*(0.3)</f>
        <v>7.0244980476923082</v>
      </c>
      <c r="E428">
        <f>23.4149934923077*(0.3)</f>
        <v>7.0244980476923082</v>
      </c>
      <c r="F428">
        <f>23.4149934923077*(0.3)</f>
        <v>7.0244980476923082</v>
      </c>
      <c r="G428">
        <f>14.0489960953846*(0.3)</f>
        <v>4.2146988286153846</v>
      </c>
      <c r="H428">
        <f>23.4149934923077*(0.3)</f>
        <v>7.0244980476923082</v>
      </c>
      <c r="I428">
        <f>23.4149934923077*(0.3)</f>
        <v>7.0244980476923082</v>
      </c>
      <c r="J428">
        <f>-4.68299869846154*(0.3)</f>
        <v>-1.4048996095384614</v>
      </c>
      <c r="K428">
        <f>23.4149934923077*(0.3)</f>
        <v>7.0244980476923082</v>
      </c>
      <c r="L428">
        <f>11.4733468112308*(0.3)</f>
        <v>3.4420040433692307</v>
      </c>
      <c r="M428">
        <f>25.7564928415385*(0.3)</f>
        <v>7.7269478524615396</v>
      </c>
      <c r="N428">
        <f>23.4149934923077*(0.3)</f>
        <v>7.0244980476923082</v>
      </c>
    </row>
    <row r="429" spans="1:14" x14ac:dyDescent="0.25">
      <c r="A429">
        <f>-141.5226619*(0.3)</f>
        <v>-42.456798569999997</v>
      </c>
      <c r="B429">
        <f>10.8863586076923*(0.3)</f>
        <v>3.2659075823076926</v>
      </c>
      <c r="C429">
        <f>32.6590758230769*(0.3)</f>
        <v>9.7977227469230765</v>
      </c>
      <c r="D429">
        <f>10.8863586076923*(0.3)</f>
        <v>3.2659075823076926</v>
      </c>
      <c r="E429">
        <f>10.8863586076923*(0.3)</f>
        <v>3.2659075823076926</v>
      </c>
      <c r="F429">
        <f>10.8863586076923*(0.3)</f>
        <v>3.2659075823076926</v>
      </c>
      <c r="G429">
        <f>6.53181516461539*(0.3)</f>
        <v>1.9595445493846155</v>
      </c>
      <c r="H429">
        <f>10.8863586076923*(0.3)</f>
        <v>3.2659075823076926</v>
      </c>
      <c r="I429">
        <f>10.8863586076923*(0.3)</f>
        <v>3.2659075823076926</v>
      </c>
      <c r="J429">
        <f>-2.17727172153846*(0.3)</f>
        <v>-0.65318151646153833</v>
      </c>
      <c r="K429">
        <f>10.8863586076923*(0.3)</f>
        <v>3.2659075823076926</v>
      </c>
      <c r="L429">
        <f>5.33431571776923*(0.3)</f>
        <v>1.6002947153307692</v>
      </c>
      <c r="M429">
        <f>11.9749944684615*(0.3)</f>
        <v>3.5924983405384618</v>
      </c>
      <c r="N429">
        <f>10.8863586076923*(0.3)</f>
        <v>3.2659075823076926</v>
      </c>
    </row>
    <row r="430" spans="1:14" x14ac:dyDescent="0.25">
      <c r="A430">
        <f>-339.6522204*(0.3)</f>
        <v>-101.89566611999999</v>
      </c>
      <c r="B430">
        <f>26.1270938769231*(0.3)</f>
        <v>7.8381281630769228</v>
      </c>
      <c r="C430">
        <f>78.3812816307692*(0.3)</f>
        <v>23.514384489230768</v>
      </c>
      <c r="D430">
        <f>26.1270938769231*(0.3)</f>
        <v>7.8381281630769228</v>
      </c>
      <c r="E430">
        <f>26.1270938769231*(0.3)</f>
        <v>7.8381281630769228</v>
      </c>
      <c r="F430">
        <f>26.1270938769231*(0.3)</f>
        <v>7.8381281630769228</v>
      </c>
      <c r="G430">
        <f>15.6762563261538*(0.3)</f>
        <v>4.7028768978461537</v>
      </c>
      <c r="H430">
        <f>26.1270938769231*(0.3)</f>
        <v>7.8381281630769228</v>
      </c>
      <c r="I430">
        <f>26.1270938769231*(0.3)</f>
        <v>7.8381281630769228</v>
      </c>
      <c r="J430">
        <f>-5.22541877538461*(0.3)</f>
        <v>-1.5676256326153841</v>
      </c>
      <c r="K430">
        <f>26.1270938769231*(0.3)</f>
        <v>7.8381281630769228</v>
      </c>
      <c r="L430">
        <f>12.8022759996923*(0.3)</f>
        <v>3.8406827999076922</v>
      </c>
      <c r="M430">
        <f>28.7398032646154*(0.3)</f>
        <v>8.6219409793846147</v>
      </c>
      <c r="N430">
        <f>26.1270938769231*(0.3)</f>
        <v>7.8381281630769228</v>
      </c>
    </row>
    <row r="431" spans="1:14" x14ac:dyDescent="0.25">
      <c r="A431">
        <f>-165.9505656*(0.3)</f>
        <v>-49.785169680000003</v>
      </c>
      <c r="B431">
        <f>12.7654281230769*(0.3)</f>
        <v>3.8296284369230769</v>
      </c>
      <c r="C431">
        <f>38.2962843692308*(0.3)</f>
        <v>11.488885310769231</v>
      </c>
      <c r="D431">
        <f>12.7654281230769*(0.3)</f>
        <v>3.8296284369230769</v>
      </c>
      <c r="E431">
        <f>12.7654281230769*(0.3)</f>
        <v>3.8296284369230769</v>
      </c>
      <c r="F431">
        <f>12.7654281230769*(0.3)</f>
        <v>3.8296284369230769</v>
      </c>
      <c r="G431">
        <f>7.65925687384615*(0.3)</f>
        <v>2.297777062153846</v>
      </c>
      <c r="H431">
        <f>12.7654281230769*(0.3)</f>
        <v>3.8296284369230769</v>
      </c>
      <c r="I431">
        <f>12.7654281230769*(0.3)</f>
        <v>3.8296284369230769</v>
      </c>
      <c r="J431">
        <f>-2.55308562461538*(0.3)</f>
        <v>-0.76592568738461519</v>
      </c>
      <c r="K431">
        <f>12.7654281230769*(0.3)</f>
        <v>3.8296284369230769</v>
      </c>
      <c r="L431">
        <f>6.25505978030769*(0.3)</f>
        <v>1.8765179340923077</v>
      </c>
      <c r="M431">
        <f>14.0419709353846*(0.3)</f>
        <v>4.2125912806153849</v>
      </c>
      <c r="N431">
        <f>12.7654281230769*(0.3)</f>
        <v>3.8296284369230769</v>
      </c>
    </row>
    <row r="432" spans="1:14" x14ac:dyDescent="0.25">
      <c r="A432">
        <f>-372.2881212*(0.3)</f>
        <v>-111.68643635999999</v>
      </c>
      <c r="B432">
        <f>28.6375477846154*(0.3)</f>
        <v>8.591264335384615</v>
      </c>
      <c r="C432">
        <f>85.9126433538461*(0.3)</f>
        <v>25.773793006153845</v>
      </c>
      <c r="D432">
        <f>28.6375477846154*(0.3)</f>
        <v>8.591264335384615</v>
      </c>
      <c r="E432">
        <f>28.6375477846154*(0.3)</f>
        <v>8.591264335384615</v>
      </c>
      <c r="F432">
        <f>28.6375477846154*(0.3)</f>
        <v>8.591264335384615</v>
      </c>
      <c r="G432">
        <f>17.1825286707692*(0.3)</f>
        <v>5.1547586012307685</v>
      </c>
      <c r="H432">
        <f>28.6375477846154*(0.3)</f>
        <v>8.591264335384615</v>
      </c>
      <c r="I432">
        <f>28.6375477846154*(0.3)</f>
        <v>8.591264335384615</v>
      </c>
      <c r="J432">
        <f>-5.72750955692308*(0.3)</f>
        <v>-1.7182528670769226</v>
      </c>
      <c r="K432">
        <f>28.6375477846154*(0.3)</f>
        <v>8.591264335384615</v>
      </c>
      <c r="L432">
        <f>14.0323984144615*(0.3)</f>
        <v>4.2097195243384613</v>
      </c>
      <c r="M432">
        <f>31.5013025630769*(0.3)</f>
        <v>9.4503907689230768</v>
      </c>
      <c r="N432">
        <f>28.6375477846154*(0.3)</f>
        <v>8.591264335384615</v>
      </c>
    </row>
    <row r="433" spans="1:14" x14ac:dyDescent="0.25">
      <c r="A433">
        <f>-3.918594496*(0.3)</f>
        <v>-1.1755783488</v>
      </c>
      <c r="B433">
        <f>0.301430345846154*(0.3)</f>
        <v>9.0429103753846149E-2</v>
      </c>
      <c r="C433">
        <f>0.904291037538462*(0.3)</f>
        <v>0.27128731126153849</v>
      </c>
      <c r="D433">
        <f>0.301430345846154*(0.3)</f>
        <v>9.0429103753846149E-2</v>
      </c>
      <c r="E433">
        <f>0.301430345846154*(0.3)</f>
        <v>9.0429103753846149E-2</v>
      </c>
      <c r="F433">
        <f>0.301430345846154*(0.3)</f>
        <v>9.0429103753846149E-2</v>
      </c>
      <c r="G433">
        <f>0.180858207507692*(0.3)</f>
        <v>5.4257462252307688E-2</v>
      </c>
      <c r="H433">
        <f>0.301430345846154*(0.3)</f>
        <v>9.0429103753846149E-2</v>
      </c>
      <c r="I433">
        <f>0.301430345846154*(0.3)</f>
        <v>9.0429103753846149E-2</v>
      </c>
      <c r="J433">
        <f>-0.0602860691692308*(0.3)</f>
        <v>-1.8085820750769227E-2</v>
      </c>
      <c r="K433">
        <f>0.301430345846154*(0.3)</f>
        <v>9.0429103753846149E-2</v>
      </c>
      <c r="L433">
        <f>0.147700869464615*(0.3)</f>
        <v>4.4310260839384615E-2</v>
      </c>
      <c r="M433">
        <f>0.331573380430769*(0.3)</f>
        <v>9.9472014129230776E-2</v>
      </c>
      <c r="N433">
        <f>0.301430345846154*(0.3)</f>
        <v>9.0429103753846149E-2</v>
      </c>
    </row>
    <row r="434" spans="1:14" x14ac:dyDescent="0.25">
      <c r="A434">
        <f>-119.7129954*(0.3)</f>
        <v>-35.913898619999998</v>
      </c>
      <c r="B434">
        <f>9.20869195384615*(0.3)</f>
        <v>2.7626075861538459</v>
      </c>
      <c r="C434">
        <f>27.6260758615385*(0.3)</f>
        <v>8.2878227584615374</v>
      </c>
      <c r="D434">
        <f>9.20869195384615*(0.3)</f>
        <v>2.7626075861538459</v>
      </c>
      <c r="E434">
        <f>9.20869195384615*(0.3)</f>
        <v>2.7626075861538459</v>
      </c>
      <c r="F434">
        <f>9.20869195384615*(0.3)</f>
        <v>2.7626075861538459</v>
      </c>
      <c r="G434">
        <f>5.52521517230769*(0.3)</f>
        <v>1.6575645516923074</v>
      </c>
      <c r="H434">
        <f>9.20869195384615*(0.3)</f>
        <v>2.7626075861538459</v>
      </c>
      <c r="I434">
        <f>9.20869195384615*(0.3)</f>
        <v>2.7626075861538459</v>
      </c>
      <c r="J434">
        <f>-1.84173839076923*(0.3)</f>
        <v>-0.55252151723076914</v>
      </c>
      <c r="K434">
        <f>9.20869195384615*(0.3)</f>
        <v>2.7626075861538459</v>
      </c>
      <c r="L434">
        <f>4.51225905738462*(0.3)</f>
        <v>1.3536777172153847</v>
      </c>
      <c r="M434">
        <f>10.1295611492308*(0.3)</f>
        <v>3.0388683447692313</v>
      </c>
      <c r="N434">
        <f>9.20869195384615*(0.3)</f>
        <v>2.7626075861538459</v>
      </c>
    </row>
    <row r="435" spans="1:14" x14ac:dyDescent="0.25">
      <c r="A435">
        <f>-5.547780553*(0.3)</f>
        <v>-1.6643341658999999</v>
      </c>
      <c r="B435">
        <f>0.426752350230769*(0.3)</f>
        <v>0.12802570506923078</v>
      </c>
      <c r="C435">
        <f>1.28025705069231*(0.3)</f>
        <v>0.38407711520769228</v>
      </c>
      <c r="D435">
        <f>0.426752350230769*(0.3)</f>
        <v>0.12802570506923078</v>
      </c>
      <c r="E435">
        <f>0.426752350230769*(0.3)</f>
        <v>0.12802570506923078</v>
      </c>
      <c r="F435">
        <f>0.426752350230769*(0.3)</f>
        <v>0.12802570506923078</v>
      </c>
      <c r="G435">
        <f>0.256051410138462*(0.3)</f>
        <v>7.6815423041538461E-2</v>
      </c>
      <c r="H435">
        <f>0.426752350230769*(0.3)</f>
        <v>0.12802570506923078</v>
      </c>
      <c r="I435">
        <f>0.426752350230769*(0.3)</f>
        <v>0.12802570506923078</v>
      </c>
      <c r="J435">
        <f>-0.0853504700461538*(0.3)</f>
        <v>-2.5605141013846148E-2</v>
      </c>
      <c r="K435">
        <f>0.426752350230769*(0.3)</f>
        <v>0.12802570506923078</v>
      </c>
      <c r="L435">
        <f>0.209108651613077*(0.3)</f>
        <v>6.273259548392307E-2</v>
      </c>
      <c r="M435">
        <f>0.469427585253846*(0.3)</f>
        <v>0.14082827557615385</v>
      </c>
      <c r="N435">
        <f>0.426752350230769*(0.3)</f>
        <v>0.12802570506923078</v>
      </c>
    </row>
    <row r="436" spans="1:14" x14ac:dyDescent="0.25">
      <c r="A436">
        <f>-159.0669934*(0.3)</f>
        <v>-47.720098020000002</v>
      </c>
      <c r="B436">
        <f>12.2359225692308*(0.3)</f>
        <v>3.6707767707692307</v>
      </c>
      <c r="C436">
        <f>36.7077677076923*(0.3)</f>
        <v>11.012330312307693</v>
      </c>
      <c r="D436">
        <f>12.2359225692308*(0.3)</f>
        <v>3.6707767707692307</v>
      </c>
      <c r="E436">
        <f>12.2359225692308*(0.3)</f>
        <v>3.6707767707692307</v>
      </c>
      <c r="F436">
        <f>12.2359225692308*(0.3)</f>
        <v>3.6707767707692307</v>
      </c>
      <c r="G436">
        <f>7.34155354153846*(0.3)</f>
        <v>2.2024660624615384</v>
      </c>
      <c r="H436">
        <f>12.2359225692308*(0.3)</f>
        <v>3.6707767707692307</v>
      </c>
      <c r="I436">
        <f>12.2359225692308*(0.3)</f>
        <v>3.6707767707692307</v>
      </c>
      <c r="J436">
        <f>-2.44718451384615*(0.3)</f>
        <v>-0.73415535415384592</v>
      </c>
      <c r="K436">
        <f>12.2359225692308*(0.3)</f>
        <v>3.6707767707692307</v>
      </c>
      <c r="L436">
        <f>5.99560205892308*(0.3)</f>
        <v>1.798680617676923</v>
      </c>
      <c r="M436">
        <f>13.4595148261538*(0.3)</f>
        <v>4.0378544478461542</v>
      </c>
      <c r="N436">
        <f>12.2359225692308*(0.3)</f>
        <v>3.6707767707692307</v>
      </c>
    </row>
    <row r="437" spans="1:14" x14ac:dyDescent="0.25">
      <c r="A437">
        <f>-5.322099235*(0.3)</f>
        <v>-1.5966297704999999</v>
      </c>
      <c r="B437">
        <f>0.409392248846154*(0.3)</f>
        <v>0.12281767465384615</v>
      </c>
      <c r="C437">
        <f>1.22817674653846*(0.3)</f>
        <v>0.3684530239615384</v>
      </c>
      <c r="D437">
        <f>0.409392248846154*(0.3)</f>
        <v>0.12281767465384615</v>
      </c>
      <c r="E437">
        <f>0.409392248846154*(0.3)</f>
        <v>0.12281767465384615</v>
      </c>
      <c r="F437">
        <f>0.409392248846154*(0.3)</f>
        <v>0.12281767465384615</v>
      </c>
      <c r="G437">
        <f>0.245635349307692*(0.3)</f>
        <v>7.3690604792307685E-2</v>
      </c>
      <c r="H437">
        <f>0.409392248846154*(0.3)</f>
        <v>0.12281767465384615</v>
      </c>
      <c r="I437">
        <f>0.409392248846154*(0.3)</f>
        <v>0.12281767465384615</v>
      </c>
      <c r="J437">
        <f>-0.0818784497692307*(0.3)</f>
        <v>-2.456353493076922E-2</v>
      </c>
      <c r="K437">
        <f>0.409392248846154*(0.3)</f>
        <v>0.12281767465384615</v>
      </c>
      <c r="L437">
        <f>0.200602201934615*(0.3)</f>
        <v>6.0180660580384605E-2</v>
      </c>
      <c r="M437">
        <f>0.450331473730769*(0.3)</f>
        <v>0.13509944211923078</v>
      </c>
      <c r="N437">
        <f>0.409392248846154*(0.3)</f>
        <v>0.12281767465384615</v>
      </c>
    </row>
    <row r="438" spans="1:14" x14ac:dyDescent="0.25">
      <c r="A438">
        <f>-197.6858622*(0.3)</f>
        <v>-59.305758659999995</v>
      </c>
      <c r="B438">
        <f>15.2066047846154*(0.3)</f>
        <v>4.5619814353846149</v>
      </c>
      <c r="C438">
        <f>45.6198143538462*(0.3)</f>
        <v>13.685944306153845</v>
      </c>
      <c r="D438">
        <f>15.2066047846154*(0.3)</f>
        <v>4.5619814353846149</v>
      </c>
      <c r="E438">
        <f>15.2066047846154*(0.3)</f>
        <v>4.5619814353846149</v>
      </c>
      <c r="F438">
        <f>15.2066047846154*(0.3)</f>
        <v>4.5619814353846149</v>
      </c>
      <c r="G438">
        <f>9.12396287076923*(0.3)</f>
        <v>2.7371888612307687</v>
      </c>
      <c r="H438">
        <f>15.2066047846154*(0.3)</f>
        <v>4.5619814353846149</v>
      </c>
      <c r="I438">
        <f>15.2066047846154*(0.3)</f>
        <v>4.5619814353846149</v>
      </c>
      <c r="J438">
        <f>-3.04132095692308*(0.3)</f>
        <v>-0.91239628707692277</v>
      </c>
      <c r="K438">
        <f>15.2066047846154*(0.3)</f>
        <v>4.5619814353846149</v>
      </c>
      <c r="L438">
        <f>7.45123634446154*(0.3)</f>
        <v>2.2353709033384614</v>
      </c>
      <c r="M438">
        <f>16.7272652630769*(0.3)</f>
        <v>5.0181795789230765</v>
      </c>
      <c r="N438">
        <f>15.2066047846154*(0.3)</f>
        <v>4.5619814353846149</v>
      </c>
    </row>
    <row r="439" spans="1:14" x14ac:dyDescent="0.25">
      <c r="A439">
        <f>-8.767881637*(0.3)</f>
        <v>-2.6303644910999999</v>
      </c>
      <c r="B439">
        <f>0.674452433615385*(0.3)</f>
        <v>0.20233573008461539</v>
      </c>
      <c r="C439">
        <f>2.02335730084615*(0.3)</f>
        <v>0.6070071902538462</v>
      </c>
      <c r="D439">
        <f>0.674452433615385*(0.3)</f>
        <v>0.20233573008461539</v>
      </c>
      <c r="E439">
        <f>0.674452433615385*(0.3)</f>
        <v>0.20233573008461539</v>
      </c>
      <c r="F439">
        <f>0.674452433615385*(0.3)</f>
        <v>0.20233573008461539</v>
      </c>
      <c r="G439">
        <f>0.404671460169231*(0.3)</f>
        <v>0.12140143805076922</v>
      </c>
      <c r="H439">
        <f>0.674452433615385*(0.3)</f>
        <v>0.20233573008461539</v>
      </c>
      <c r="I439">
        <f>0.674452433615385*(0.3)</f>
        <v>0.20233573008461539</v>
      </c>
      <c r="J439">
        <f>-0.134890486723077*(0.3)</f>
        <v>-4.046714601692307E-2</v>
      </c>
      <c r="K439">
        <f>0.674452433615385*(0.3)</f>
        <v>0.20233573008461539</v>
      </c>
      <c r="L439">
        <f>0.330481692471538*(0.3)</f>
        <v>9.9144507741461538E-2</v>
      </c>
      <c r="M439">
        <f>0.741897676976923*(0.3)</f>
        <v>0.22256930309307696</v>
      </c>
      <c r="N439">
        <f>0.674452433615385*(0.3)</f>
        <v>0.20233573008461539</v>
      </c>
    </row>
    <row r="440" spans="1:14" x14ac:dyDescent="0.25">
      <c r="A440">
        <f>-240.5271253*(0.3)</f>
        <v>-72.158137589999995</v>
      </c>
      <c r="B440">
        <f>18.5020865615385*(0.3)</f>
        <v>5.5506259684615387</v>
      </c>
      <c r="C440">
        <f>55.5062596846154*(0.3)</f>
        <v>16.651877905384616</v>
      </c>
      <c r="D440">
        <f>18.5020865615385*(0.3)</f>
        <v>5.5506259684615387</v>
      </c>
      <c r="E440">
        <f>18.5020865615385*(0.3)</f>
        <v>5.5506259684615387</v>
      </c>
      <c r="F440">
        <f>18.5020865615385*(0.3)</f>
        <v>5.5506259684615387</v>
      </c>
      <c r="G440">
        <f>11.1012519369231*(0.3)</f>
        <v>3.3303755810769231</v>
      </c>
      <c r="H440">
        <f>18.5020865615385*(0.3)</f>
        <v>5.5506259684615387</v>
      </c>
      <c r="I440">
        <f>18.5020865615385*(0.3)</f>
        <v>5.5506259684615387</v>
      </c>
      <c r="J440">
        <f>-3.70041731230769*(0.3)</f>
        <v>-1.1101251936923073</v>
      </c>
      <c r="K440">
        <f>18.5020865615385*(0.3)</f>
        <v>5.5506259684615387</v>
      </c>
      <c r="L440">
        <f>9.06602241515385*(0.3)</f>
        <v>2.7198067245461535</v>
      </c>
      <c r="M440">
        <f>20.3522952176923*(0.3)</f>
        <v>6.105688565307692</v>
      </c>
      <c r="N440">
        <f>18.5020865615385*(0.3)</f>
        <v>5.5506259684615387</v>
      </c>
    </row>
    <row r="441" spans="1:14" x14ac:dyDescent="0.25">
      <c r="A441">
        <f>-11.48911467*(0.3)</f>
        <v>-3.4467344009999996</v>
      </c>
      <c r="B441">
        <f>0.883778051538461*(0.3)</f>
        <v>0.2651334154615384</v>
      </c>
      <c r="C441">
        <f>2.65133415461538*(0.3)</f>
        <v>0.79540024638461526</v>
      </c>
      <c r="D441">
        <f>0.883778051538461*(0.3)</f>
        <v>0.2651334154615384</v>
      </c>
      <c r="E441">
        <f>0.883778051538461*(0.3)</f>
        <v>0.2651334154615384</v>
      </c>
      <c r="F441">
        <f>0.883778051538461*(0.3)</f>
        <v>0.2651334154615384</v>
      </c>
      <c r="G441">
        <f>0.530266830923077*(0.3)</f>
        <v>0.15908004927692304</v>
      </c>
      <c r="H441">
        <f>0.883778051538461*(0.3)</f>
        <v>0.2651334154615384</v>
      </c>
      <c r="I441">
        <f>0.883778051538461*(0.3)</f>
        <v>0.2651334154615384</v>
      </c>
      <c r="J441">
        <f>-0.176755610307692*(0.3)</f>
        <v>-5.3026683092307673E-2</v>
      </c>
      <c r="K441">
        <f>0.883778051538461*(0.3)</f>
        <v>0.2651334154615384</v>
      </c>
      <c r="L441">
        <f>0.433051245253846*(0.3)</f>
        <v>0.12991537357615382</v>
      </c>
      <c r="M441">
        <f>0.972155856692308*(0.3)</f>
        <v>0.29164675700769227</v>
      </c>
      <c r="N441">
        <f>0.883778051538461*(0.3)</f>
        <v>0.2651334154615384</v>
      </c>
    </row>
    <row r="442" spans="1:14" x14ac:dyDescent="0.25">
      <c r="A442">
        <f>-281.3787386*(0.3)</f>
        <v>-84.413621579999997</v>
      </c>
      <c r="B442">
        <f>21.6445183538462*(0.3)</f>
        <v>6.4933555061538462</v>
      </c>
      <c r="C442">
        <f>64.9335550615385*(0.3)</f>
        <v>19.480066518461541</v>
      </c>
      <c r="D442">
        <f>21.6445183538462*(0.3)</f>
        <v>6.4933555061538462</v>
      </c>
      <c r="E442">
        <f>21.6445183538462*(0.3)</f>
        <v>6.4933555061538462</v>
      </c>
      <c r="F442">
        <f>21.6445183538462*(0.3)</f>
        <v>6.4933555061538462</v>
      </c>
      <c r="G442">
        <f>12.9867110123077*(0.3)</f>
        <v>3.8960133036923077</v>
      </c>
      <c r="H442">
        <f>21.6445183538462*(0.3)</f>
        <v>6.4933555061538462</v>
      </c>
      <c r="I442">
        <f>21.6445183538462*(0.3)</f>
        <v>6.4933555061538462</v>
      </c>
      <c r="J442">
        <f>-4.32890367076923*(0.3)</f>
        <v>-1.298671101230769</v>
      </c>
      <c r="K442">
        <f>21.6445183538462*(0.3)</f>
        <v>6.4933555061538462</v>
      </c>
      <c r="L442">
        <f>10.6058139933846*(0.3)</f>
        <v>3.1817441980153851</v>
      </c>
      <c r="M442">
        <f>23.8089701892308*(0.3)</f>
        <v>7.1426910567692321</v>
      </c>
      <c r="N442">
        <f>21.6445183538462*(0.3)</f>
        <v>6.4933555061538462</v>
      </c>
    </row>
    <row r="443" spans="1:14" x14ac:dyDescent="0.25">
      <c r="A443">
        <f>-12.41870636*(0.3)</f>
        <v>-3.7256119079999999</v>
      </c>
      <c r="B443">
        <f>0.955285104615385*(0.3)</f>
        <v>0.2865855313846154</v>
      </c>
      <c r="C443">
        <f>2.86585531384615*(0.3)</f>
        <v>0.85975659415384609</v>
      </c>
      <c r="D443">
        <f>0.955285104615385*(0.3)</f>
        <v>0.2865855313846154</v>
      </c>
      <c r="E443">
        <f>0.955285104615385*(0.3)</f>
        <v>0.2865855313846154</v>
      </c>
      <c r="F443">
        <f>0.955285104615385*(0.3)</f>
        <v>0.2865855313846154</v>
      </c>
      <c r="G443">
        <f>0.573171062769231*(0.3)</f>
        <v>0.17195131883076922</v>
      </c>
      <c r="H443">
        <f>0.955285104615385*(0.3)</f>
        <v>0.2865855313846154</v>
      </c>
      <c r="I443">
        <f>0.955285104615385*(0.3)</f>
        <v>0.2865855313846154</v>
      </c>
      <c r="J443">
        <f>-0.191057020923077*(0.3)</f>
        <v>-5.731710627692306E-2</v>
      </c>
      <c r="K443">
        <f>0.955285104615385*(0.3)</f>
        <v>0.2865855313846154</v>
      </c>
      <c r="L443">
        <f>0.468089701261538*(0.3)</f>
        <v>0.14042691037846153</v>
      </c>
      <c r="M443">
        <f>1.05081361507692*(0.3)</f>
        <v>0.31524408452307695</v>
      </c>
      <c r="N443">
        <f>0.955285104615385*(0.3)</f>
        <v>0.2865855313846154</v>
      </c>
    </row>
    <row r="444" spans="1:14" x14ac:dyDescent="0.25">
      <c r="A444">
        <f>-319.1642603*(0.3)</f>
        <v>-95.749278090000004</v>
      </c>
      <c r="B444">
        <f>24.5510969461538*(0.3)</f>
        <v>7.365329083846154</v>
      </c>
      <c r="C444">
        <f>73.6532908384615*(0.3)</f>
        <v>22.095987251538464</v>
      </c>
      <c r="D444">
        <f>24.5510969461538*(0.3)</f>
        <v>7.365329083846154</v>
      </c>
      <c r="E444">
        <f>24.5510969461538*(0.3)</f>
        <v>7.365329083846154</v>
      </c>
      <c r="F444">
        <f>24.5510969461538*(0.3)</f>
        <v>7.365329083846154</v>
      </c>
      <c r="G444">
        <f>14.7306581676923*(0.3)</f>
        <v>4.4191974503076921</v>
      </c>
      <c r="H444">
        <f>24.5510969461538*(0.3)</f>
        <v>7.365329083846154</v>
      </c>
      <c r="I444">
        <f>24.5510969461538*(0.3)</f>
        <v>7.365329083846154</v>
      </c>
      <c r="J444">
        <f>-4.91021938923077*(0.3)</f>
        <v>-1.4730658167692303</v>
      </c>
      <c r="K444">
        <f>24.5510969461538*(0.3)</f>
        <v>7.365329083846154</v>
      </c>
      <c r="L444">
        <f>12.0300375036154*(0.3)</f>
        <v>3.6090112510846155</v>
      </c>
      <c r="M444">
        <f>27.0062066407692*(0.3)</f>
        <v>8.10186199223077</v>
      </c>
      <c r="N444">
        <f>24.5510969461538*(0.3)</f>
        <v>7.365329083846154</v>
      </c>
    </row>
    <row r="445" spans="1:14" x14ac:dyDescent="0.25">
      <c r="A445">
        <f>-14.6819446*(0.3)</f>
        <v>-4.40458338</v>
      </c>
      <c r="B445">
        <f>1.12938035384615*(0.3)</f>
        <v>0.33881410615384611</v>
      </c>
      <c r="C445">
        <f>3.38814106153846*(0.3)</f>
        <v>1.0164423184615383</v>
      </c>
      <c r="D445">
        <f>1.12938035384615*(0.3)</f>
        <v>0.33881410615384611</v>
      </c>
      <c r="E445">
        <f>1.12938035384615*(0.3)</f>
        <v>0.33881410615384611</v>
      </c>
      <c r="F445">
        <f>1.12938035384615*(0.3)</f>
        <v>0.33881410615384611</v>
      </c>
      <c r="G445">
        <f>0.677628212307692*(0.3)</f>
        <v>0.20328846369230766</v>
      </c>
      <c r="H445">
        <f>1.12938035384615*(0.3)</f>
        <v>0.33881410615384611</v>
      </c>
      <c r="I445">
        <f>1.12938035384615*(0.3)</f>
        <v>0.33881410615384611</v>
      </c>
      <c r="J445">
        <f>-0.225876070769231*(0.3)</f>
        <v>-6.776282123076921E-2</v>
      </c>
      <c r="K445">
        <f>1.12938035384615*(0.3)</f>
        <v>0.33881410615384611</v>
      </c>
      <c r="L445">
        <f>0.553396373384615*(0.3)</f>
        <v>0.1660189120153846</v>
      </c>
      <c r="M445">
        <f>1.24231838923077*(0.3)</f>
        <v>0.37269551676923074</v>
      </c>
      <c r="N445">
        <f>1.12938035384615*(0.3)</f>
        <v>0.33881410615384611</v>
      </c>
    </row>
    <row r="446" spans="1:14" x14ac:dyDescent="0.25">
      <c r="A446">
        <f>-360.3340938*(0.3)</f>
        <v>-108.10022814</v>
      </c>
      <c r="B446">
        <f>27.7180072153846*(0.3)</f>
        <v>8.3154021646153851</v>
      </c>
      <c r="C446">
        <f>83.1540216461539*(0.3)</f>
        <v>24.946206493846155</v>
      </c>
      <c r="D446">
        <f>27.7180072153846*(0.3)</f>
        <v>8.3154021646153851</v>
      </c>
      <c r="E446">
        <f>27.7180072153846*(0.3)</f>
        <v>8.3154021646153851</v>
      </c>
      <c r="F446">
        <f>27.7180072153846*(0.3)</f>
        <v>8.3154021646153851</v>
      </c>
      <c r="G446">
        <f>16.6308043292308*(0.3)</f>
        <v>4.9892412987692305</v>
      </c>
      <c r="H446">
        <f>27.7180072153846*(0.3)</f>
        <v>8.3154021646153851</v>
      </c>
      <c r="I446">
        <f>27.7180072153846*(0.3)</f>
        <v>8.3154021646153851</v>
      </c>
      <c r="J446">
        <f>-5.54360144307692*(0.3)</f>
        <v>-1.6630804329230766</v>
      </c>
      <c r="K446">
        <f>27.7180072153846*(0.3)</f>
        <v>8.3154021646153851</v>
      </c>
      <c r="L446">
        <f>13.5818235355385*(0.3)</f>
        <v>4.0745470606615379</v>
      </c>
      <c r="M446">
        <f>30.4898079369231*(0.3)</f>
        <v>9.1469423810769239</v>
      </c>
      <c r="N446">
        <f>27.7180072153846*(0.3)</f>
        <v>8.3154021646153851</v>
      </c>
    </row>
    <row r="447" spans="1:14" x14ac:dyDescent="0.25">
      <c r="A447">
        <f>-19.0226166*(0.3)</f>
        <v>-5.7067849799999992</v>
      </c>
      <c r="B447">
        <f>1.4632782*(0.3)</f>
        <v>0.43898345999999999</v>
      </c>
      <c r="C447">
        <f>4.3898346*(0.3)</f>
        <v>1.31695038</v>
      </c>
      <c r="D447">
        <f>1.4632782*(0.3)</f>
        <v>0.43898345999999999</v>
      </c>
      <c r="E447">
        <f>1.4632782*(0.3)</f>
        <v>0.43898345999999999</v>
      </c>
      <c r="F447">
        <f>1.4632782*(0.3)</f>
        <v>0.43898345999999999</v>
      </c>
      <c r="G447">
        <f>0.87796692*(0.3)</f>
        <v>0.26339007599999997</v>
      </c>
      <c r="H447">
        <f>1.4632782*(0.3)</f>
        <v>0.43898345999999999</v>
      </c>
      <c r="I447">
        <f>1.4632782*(0.3)</f>
        <v>0.43898345999999999</v>
      </c>
      <c r="J447">
        <f>-0.29265564*(0.3)</f>
        <v>-8.7796691999999982E-2</v>
      </c>
      <c r="K447">
        <f>1.4632782*(0.3)</f>
        <v>0.43898345999999999</v>
      </c>
      <c r="L447">
        <f>0.717006318*(0.3)</f>
        <v>0.21510189539999996</v>
      </c>
      <c r="M447">
        <f>1.60960602*(0.3)</f>
        <v>0.48288180600000002</v>
      </c>
      <c r="N447">
        <f>1.4632782*(0.3)</f>
        <v>0.43898345999999999</v>
      </c>
    </row>
    <row r="448" spans="1:14" x14ac:dyDescent="0.25">
      <c r="A448">
        <f>-400.1682256*(0.3)</f>
        <v>-120.05046768</v>
      </c>
      <c r="B448">
        <f>30.7821712*(0.3)</f>
        <v>9.2346513599999991</v>
      </c>
      <c r="C448">
        <f>92.3465136*(0.3)</f>
        <v>27.703954080000003</v>
      </c>
      <c r="D448">
        <f>30.7821712*(0.3)</f>
        <v>9.2346513599999991</v>
      </c>
      <c r="E448">
        <f>30.7821712*(0.3)</f>
        <v>9.2346513599999991</v>
      </c>
      <c r="F448">
        <f>30.7821712*(0.3)</f>
        <v>9.2346513599999991</v>
      </c>
      <c r="G448">
        <f>18.46930272*(0.3)</f>
        <v>5.5407908159999995</v>
      </c>
      <c r="H448">
        <f>30.7821712*(0.3)</f>
        <v>9.2346513599999991</v>
      </c>
      <c r="I448">
        <f>30.7821712*(0.3)</f>
        <v>9.2346513599999991</v>
      </c>
      <c r="J448">
        <f>-6.15643424*(0.3)</f>
        <v>-1.8469302719999994</v>
      </c>
      <c r="K448">
        <f>30.7821712*(0.3)</f>
        <v>9.2346513599999991</v>
      </c>
      <c r="L448">
        <f>15.083263888*(0.3)</f>
        <v>4.5249791663999996</v>
      </c>
      <c r="M448">
        <f>33.86038832*(0.3)</f>
        <v>10.158116496000002</v>
      </c>
      <c r="N448">
        <f>30.7821712*(0.3)</f>
        <v>9.2346513599999991</v>
      </c>
    </row>
    <row r="449" spans="1:14" x14ac:dyDescent="0.25">
      <c r="A449">
        <f>-5.552928607*(0.3)</f>
        <v>-1.6658785820999999</v>
      </c>
      <c r="B449">
        <f>0.427148354384615*(0.3)</f>
        <v>0.12814450631538463</v>
      </c>
      <c r="C449">
        <f>1.28144506315385*(0.3)</f>
        <v>0.38443351894615391</v>
      </c>
      <c r="D449">
        <f>0.427148354384615*(0.3)</f>
        <v>0.12814450631538463</v>
      </c>
      <c r="E449">
        <f>0.427148354384615*(0.3)</f>
        <v>0.12814450631538463</v>
      </c>
      <c r="F449">
        <f>0.427148354384615*(0.3)</f>
        <v>0.12814450631538463</v>
      </c>
      <c r="G449">
        <f>0.256289012630769*(0.3)</f>
        <v>7.6886703789230779E-2</v>
      </c>
      <c r="H449">
        <f>0.427148354384615*(0.3)</f>
        <v>0.12814450631538463</v>
      </c>
      <c r="I449">
        <f>0.427148354384615*(0.3)</f>
        <v>0.12814450631538463</v>
      </c>
      <c r="J449">
        <f>-0.0854296708769231*(0.3)</f>
        <v>-2.5628901263076917E-2</v>
      </c>
      <c r="K449">
        <f>0.427148354384615*(0.3)</f>
        <v>0.12814450631538463</v>
      </c>
      <c r="L449">
        <f>0.209302693648462*(0.3)</f>
        <v>6.2790808094538464E-2</v>
      </c>
      <c r="M449">
        <f>0.469863189823077*(0.3)</f>
        <v>0.14095895694692309</v>
      </c>
      <c r="N449">
        <f>0.427148354384615*(0.3)</f>
        <v>0.12814450631538463</v>
      </c>
    </row>
    <row r="450" spans="1:14" x14ac:dyDescent="0.25">
      <c r="A450">
        <f>1.681167673*(0.3)</f>
        <v>0.50435030189999996</v>
      </c>
      <c r="B450">
        <f>-0.129320590230769*(0.3)</f>
        <v>-3.8796177069230768E-2</v>
      </c>
      <c r="C450">
        <f>-0.387961770692308*(0.3)</f>
        <v>-0.11638853120769228</v>
      </c>
      <c r="D450">
        <f>-0.129320590230769*(0.3)</f>
        <v>-3.8796177069230768E-2</v>
      </c>
      <c r="E450">
        <f>-0.129320590230769*(0.3)</f>
        <v>-3.8796177069230768E-2</v>
      </c>
      <c r="F450">
        <f>-0.129320590230769*(0.3)</f>
        <v>-3.8796177069230768E-2</v>
      </c>
      <c r="G450">
        <f>-0.0775923541384615*(0.3)</f>
        <v>-2.3277706241538462E-2</v>
      </c>
      <c r="H450">
        <f>-0.129320590230769*(0.3)</f>
        <v>-3.8796177069230768E-2</v>
      </c>
      <c r="I450">
        <f>-0.129320590230769*(0.3)</f>
        <v>-3.8796177069230768E-2</v>
      </c>
      <c r="J450">
        <f>0.0258641180461538*(0.3)</f>
        <v>7.7592354138461515E-3</v>
      </c>
      <c r="K450">
        <f>-0.129320590230769*(0.3)</f>
        <v>-3.8796177069230768E-2</v>
      </c>
      <c r="L450">
        <f>-0.0633670892130769*(0.3)</f>
        <v>-1.9010126763923076E-2</v>
      </c>
      <c r="M450">
        <f>-0.142252649253846*(0.3)</f>
        <v>-4.2675794776153846E-2</v>
      </c>
      <c r="N450">
        <f>-0.129320590230769*(0.3)</f>
        <v>-3.8796177069230768E-2</v>
      </c>
    </row>
    <row r="451" spans="1:14" x14ac:dyDescent="0.25">
      <c r="A451">
        <f>-8.898193585*(0.3)</f>
        <v>-2.6694580754999997</v>
      </c>
      <c r="B451">
        <f>0.684476429615385*(0.3)</f>
        <v>0.20534292888461536</v>
      </c>
      <c r="C451">
        <f>2.05342928884615*(0.3)</f>
        <v>0.61602878665384608</v>
      </c>
      <c r="D451">
        <f>0.684476429615385*(0.3)</f>
        <v>0.20534292888461536</v>
      </c>
      <c r="E451">
        <f>0.684476429615385*(0.3)</f>
        <v>0.20534292888461536</v>
      </c>
      <c r="F451">
        <f>0.684476429615385*(0.3)</f>
        <v>0.20534292888461536</v>
      </c>
      <c r="G451">
        <f>0.410685857769231*(0.3)</f>
        <v>0.12320575733076922</v>
      </c>
      <c r="H451">
        <f>0.684476429615385*(0.3)</f>
        <v>0.20534292888461536</v>
      </c>
      <c r="I451">
        <f>0.684476429615385*(0.3)</f>
        <v>0.20534292888461536</v>
      </c>
      <c r="J451">
        <f>-0.136895285923077*(0.3)</f>
        <v>-4.1068585776923065E-2</v>
      </c>
      <c r="K451">
        <f>0.684476429615385*(0.3)</f>
        <v>0.20534292888461536</v>
      </c>
      <c r="L451">
        <f>0.335393450511538*(0.3)</f>
        <v>0.10061803515346153</v>
      </c>
      <c r="M451">
        <f>0.752924072576923*(0.3)</f>
        <v>0.2258772217730769</v>
      </c>
      <c r="N451">
        <f>0.684476429615385*(0.3)</f>
        <v>0.20534292888461536</v>
      </c>
    </row>
    <row r="452" spans="1:14" x14ac:dyDescent="0.25">
      <c r="A452">
        <f>3.598731622*(0.3)</f>
        <v>1.0796194866</v>
      </c>
      <c r="B452">
        <f>-0.276825509384615*(0.3)</f>
        <v>-8.3047652815384607E-2</v>
      </c>
      <c r="C452">
        <f>-0.830476528153846*(0.3)</f>
        <v>-0.24914295844615381</v>
      </c>
      <c r="D452">
        <f>-0.276825509384615*(0.3)</f>
        <v>-8.3047652815384607E-2</v>
      </c>
      <c r="E452">
        <f>-0.276825509384615*(0.3)</f>
        <v>-8.3047652815384607E-2</v>
      </c>
      <c r="F452">
        <f>-0.276825509384615*(0.3)</f>
        <v>-8.3047652815384607E-2</v>
      </c>
      <c r="G452">
        <f>-0.166095305630769*(0.3)</f>
        <v>-4.9828591689230761E-2</v>
      </c>
      <c r="H452">
        <f>-0.276825509384615*(0.3)</f>
        <v>-8.3047652815384607E-2</v>
      </c>
      <c r="I452">
        <f>-0.276825509384615*(0.3)</f>
        <v>-8.3047652815384607E-2</v>
      </c>
      <c r="J452">
        <f>0.0553651018769231*(0.3)</f>
        <v>1.6609530563076919E-2</v>
      </c>
      <c r="K452">
        <f>-0.276825509384615*(0.3)</f>
        <v>-8.3047652815384607E-2</v>
      </c>
      <c r="L452">
        <f>-0.135644499598462*(0.3)</f>
        <v>-4.069334987953846E-2</v>
      </c>
      <c r="M452">
        <f>-0.304508060323077*(0.3)</f>
        <v>-9.1352418096923071E-2</v>
      </c>
      <c r="N452">
        <f>-0.276825509384615*(0.3)</f>
        <v>-8.3047652815384607E-2</v>
      </c>
    </row>
    <row r="453" spans="1:14" x14ac:dyDescent="0.25">
      <c r="A453">
        <f>-7.442317478*(0.3)</f>
        <v>-2.2326952433999998</v>
      </c>
      <c r="B453">
        <f>0.572485959846154*(0.3)</f>
        <v>0.17174578795384612</v>
      </c>
      <c r="C453">
        <f>1.71745787953846*(0.3)</f>
        <v>0.5152373638615384</v>
      </c>
      <c r="D453">
        <f>0.572485959846154*(0.3)</f>
        <v>0.17174578795384612</v>
      </c>
      <c r="E453">
        <f>0.572485959846154*(0.3)</f>
        <v>0.17174578795384612</v>
      </c>
      <c r="F453">
        <f>0.572485959846154*(0.3)</f>
        <v>0.17174578795384612</v>
      </c>
      <c r="G453">
        <f>0.343491575907692*(0.3)</f>
        <v>0.10304747277230768</v>
      </c>
      <c r="H453">
        <f>0.572485959846154*(0.3)</f>
        <v>0.17174578795384612</v>
      </c>
      <c r="I453">
        <f>0.572485959846154*(0.3)</f>
        <v>0.17174578795384612</v>
      </c>
      <c r="J453">
        <f>-0.114497191969231*(0.3)</f>
        <v>-3.4349157590769216E-2</v>
      </c>
      <c r="K453">
        <f>0.572485959846154*(0.3)</f>
        <v>0.17174578795384612</v>
      </c>
      <c r="L453">
        <f>0.280518120324615*(0.3)</f>
        <v>8.4155436097384614E-2</v>
      </c>
      <c r="M453">
        <f>0.629734555830769*(0.3)</f>
        <v>0.18892036674923077</v>
      </c>
      <c r="N453">
        <f>0.572485959846154*(0.3)</f>
        <v>0.17174578795384612</v>
      </c>
    </row>
    <row r="454" spans="1:14" x14ac:dyDescent="0.25">
      <c r="A454">
        <f>1.499991279*(0.3)</f>
        <v>0.44999738369999998</v>
      </c>
      <c r="B454">
        <f>-0.115383944538462*(0.3)</f>
        <v>-3.461518336153846E-2</v>
      </c>
      <c r="C454">
        <f>-0.346151833615385*(0.3)</f>
        <v>-0.10384555008461538</v>
      </c>
      <c r="D454">
        <f>-0.115383944538462*(0.3)</f>
        <v>-3.461518336153846E-2</v>
      </c>
      <c r="E454">
        <f>-0.115383944538462*(0.3)</f>
        <v>-3.461518336153846E-2</v>
      </c>
      <c r="F454">
        <f>-0.115383944538462*(0.3)</f>
        <v>-3.461518336153846E-2</v>
      </c>
      <c r="G454">
        <f>-0.0692303667230769*(0.3)</f>
        <v>-2.0769110016923074E-2</v>
      </c>
      <c r="H454">
        <f>-0.115383944538462*(0.3)</f>
        <v>-3.461518336153846E-2</v>
      </c>
      <c r="I454">
        <f>-0.115383944538462*(0.3)</f>
        <v>-3.461518336153846E-2</v>
      </c>
      <c r="J454">
        <f>0.0230767889076923*(0.3)</f>
        <v>6.9230366723076909E-3</v>
      </c>
      <c r="K454">
        <f>-0.115383944538462*(0.3)</f>
        <v>-3.461518336153846E-2</v>
      </c>
      <c r="L454">
        <f>-0.0565381328238462*(0.3)</f>
        <v>-1.6961439847153845E-2</v>
      </c>
      <c r="M454">
        <f>-0.126922338992308*(0.3)</f>
        <v>-3.8076701697692311E-2</v>
      </c>
      <c r="N454">
        <f>-0.115383944538462*(0.3)</f>
        <v>-3.461518336153846E-2</v>
      </c>
    </row>
    <row r="455" spans="1:14" x14ac:dyDescent="0.25">
      <c r="A455">
        <f>-17.5973173*(0.3)</f>
        <v>-5.2791951900000003</v>
      </c>
      <c r="B455">
        <f>1.35363979230769*(0.3)</f>
        <v>0.40609193769230773</v>
      </c>
      <c r="C455">
        <f>4.06091937692308*(0.3)</f>
        <v>1.2182758130769231</v>
      </c>
      <c r="D455">
        <f>1.35363979230769*(0.3)</f>
        <v>0.40609193769230773</v>
      </c>
      <c r="E455">
        <f>1.35363979230769*(0.3)</f>
        <v>0.40609193769230773</v>
      </c>
      <c r="F455">
        <f>1.35363979230769*(0.3)</f>
        <v>0.40609193769230773</v>
      </c>
      <c r="G455">
        <f>0.812183875384615*(0.3)</f>
        <v>0.24365516261538461</v>
      </c>
      <c r="H455">
        <f>1.35363979230769*(0.3)</f>
        <v>0.40609193769230773</v>
      </c>
      <c r="I455">
        <f>1.35363979230769*(0.3)</f>
        <v>0.40609193769230773</v>
      </c>
      <c r="J455">
        <f>-0.270727958461538*(0.3)</f>
        <v>-8.1218387538461514E-2</v>
      </c>
      <c r="K455">
        <f>1.35363979230769*(0.3)</f>
        <v>0.40609193769230773</v>
      </c>
      <c r="L455">
        <f>0.663283498230769*(0.3)</f>
        <v>0.19898504946923076</v>
      </c>
      <c r="M455">
        <f>1.48900377153846*(0.3)</f>
        <v>0.4467011314615385</v>
      </c>
      <c r="N455">
        <f>1.35363979230769*(0.3)</f>
        <v>0.40609193769230773</v>
      </c>
    </row>
    <row r="456" spans="1:14" x14ac:dyDescent="0.25">
      <c r="A456">
        <f>-1.302124249*(0.3)</f>
        <v>-0.39063727469999998</v>
      </c>
      <c r="B456">
        <f>0.100163403769231*(0.3)</f>
        <v>3.0049021130769231E-2</v>
      </c>
      <c r="C456">
        <f>0.300490211307692*(0.3)</f>
        <v>9.01470633923077E-2</v>
      </c>
      <c r="D456">
        <f>0.100163403769231*(0.3)</f>
        <v>3.0049021130769231E-2</v>
      </c>
      <c r="E456">
        <f>0.100163403769231*(0.3)</f>
        <v>3.0049021130769231E-2</v>
      </c>
      <c r="F456">
        <f>0.100163403769231*(0.3)</f>
        <v>3.0049021130769231E-2</v>
      </c>
      <c r="G456">
        <f>0.0600980422615385*(0.3)</f>
        <v>1.8029412678461539E-2</v>
      </c>
      <c r="H456">
        <f>0.100163403769231*(0.3)</f>
        <v>3.0049021130769231E-2</v>
      </c>
      <c r="I456">
        <f>0.100163403769231*(0.3)</f>
        <v>3.0049021130769231E-2</v>
      </c>
      <c r="J456">
        <f>-0.0200326807538461*(0.3)</f>
        <v>-6.0098042261538445E-3</v>
      </c>
      <c r="K456">
        <f>0.100163403769231*(0.3)</f>
        <v>3.0049021130769231E-2</v>
      </c>
      <c r="L456">
        <f>0.0490800678469231*(0.3)</f>
        <v>1.4724020354076923E-2</v>
      </c>
      <c r="M456">
        <f>0.110179744146154*(0.3)</f>
        <v>3.3053923243846157E-2</v>
      </c>
      <c r="N456">
        <f>0.100163403769231*(0.3)</f>
        <v>3.0049021130769231E-2</v>
      </c>
    </row>
    <row r="457" spans="1:14" x14ac:dyDescent="0.25">
      <c r="A457">
        <f>-20.70393206*(0.3)</f>
        <v>-6.2111796180000001</v>
      </c>
      <c r="B457">
        <f>1.59261015846154*(0.3)</f>
        <v>0.47778304753846151</v>
      </c>
      <c r="C457">
        <f>4.77783047538462*(0.3)</f>
        <v>1.4333491426153844</v>
      </c>
      <c r="D457">
        <f>1.59261015846154*(0.3)</f>
        <v>0.47778304753846151</v>
      </c>
      <c r="E457">
        <f>1.59261015846154*(0.3)</f>
        <v>0.47778304753846151</v>
      </c>
      <c r="F457">
        <f>1.59261015846154*(0.3)</f>
        <v>0.47778304753846151</v>
      </c>
      <c r="G457">
        <f>0.955566095076923*(0.3)</f>
        <v>0.28666982852307688</v>
      </c>
      <c r="H457">
        <f>1.59261015846154*(0.3)</f>
        <v>0.47778304753846151</v>
      </c>
      <c r="I457">
        <f>1.59261015846154*(0.3)</f>
        <v>0.47778304753846151</v>
      </c>
      <c r="J457">
        <f>-0.318522031692308*(0.3)</f>
        <v>-9.5556609507692292E-2</v>
      </c>
      <c r="K457">
        <f>1.59261015846154*(0.3)</f>
        <v>0.47778304753846151</v>
      </c>
      <c r="L457">
        <f>0.780378977646154*(0.3)</f>
        <v>0.23411369329384613</v>
      </c>
      <c r="M457">
        <f>1.75187117430769*(0.3)</f>
        <v>0.52556135229230772</v>
      </c>
      <c r="N457">
        <f>1.59261015846154*(0.3)</f>
        <v>0.47778304753846151</v>
      </c>
    </row>
    <row r="458" spans="1:14" x14ac:dyDescent="0.25">
      <c r="A458">
        <f>0.495426955*(0.3)</f>
        <v>0.14862808650000001</v>
      </c>
      <c r="B458">
        <f>-0.0381097657692308*(0.3)</f>
        <v>-1.143292973076923E-2</v>
      </c>
      <c r="C458">
        <f>-0.114329297307692*(0.3)</f>
        <v>-3.4298789192307687E-2</v>
      </c>
      <c r="D458">
        <f>-0.0381097657692308*(0.3)</f>
        <v>-1.143292973076923E-2</v>
      </c>
      <c r="E458">
        <f>-0.0381097657692308*(0.3)</f>
        <v>-1.143292973076923E-2</v>
      </c>
      <c r="F458">
        <f>-0.0381097657692308*(0.3)</f>
        <v>-1.143292973076923E-2</v>
      </c>
      <c r="G458">
        <f>-0.0228658594615385*(0.3)</f>
        <v>-6.8597578384615374E-3</v>
      </c>
      <c r="H458">
        <f>-0.0381097657692308*(0.3)</f>
        <v>-1.143292973076923E-2</v>
      </c>
      <c r="I458">
        <f>-0.0381097657692308*(0.3)</f>
        <v>-1.143292973076923E-2</v>
      </c>
      <c r="J458">
        <f>0.00762195315384615*(0.3)</f>
        <v>2.2865859461538456E-3</v>
      </c>
      <c r="K458">
        <f>-0.0381097657692308*(0.3)</f>
        <v>-1.143292973076923E-2</v>
      </c>
      <c r="L458">
        <f>-0.0186737852269231*(0.3)</f>
        <v>-5.6021355680769226E-3</v>
      </c>
      <c r="M458">
        <f>-0.0419207423461538*(0.3)</f>
        <v>-1.2576222703846153E-2</v>
      </c>
      <c r="N458">
        <f>-0.0381097657692308*(0.3)</f>
        <v>-1.143292973076923E-2</v>
      </c>
    </row>
    <row r="459" spans="1:14" x14ac:dyDescent="0.25">
      <c r="A459">
        <f>-20.8070966*(0.3)</f>
        <v>-6.2421289800000004</v>
      </c>
      <c r="B459">
        <f>1.60054589230769*(0.3)</f>
        <v>0.48016376769230773</v>
      </c>
      <c r="C459">
        <f>4.80163767692308*(0.3)</f>
        <v>1.4404913030769231</v>
      </c>
      <c r="D459">
        <f>1.60054589230769*(0.3)</f>
        <v>0.48016376769230773</v>
      </c>
      <c r="E459">
        <f>1.60054589230769*(0.3)</f>
        <v>0.48016376769230773</v>
      </c>
      <c r="F459">
        <f>1.60054589230769*(0.3)</f>
        <v>0.48016376769230773</v>
      </c>
      <c r="G459">
        <f>0.960327535384615*(0.3)</f>
        <v>0.28809826061538463</v>
      </c>
      <c r="H459">
        <f>1.60054589230769*(0.3)</f>
        <v>0.48016376769230773</v>
      </c>
      <c r="I459">
        <f>1.60054589230769*(0.3)</f>
        <v>0.48016376769230773</v>
      </c>
      <c r="J459">
        <f>-0.320109178461538*(0.3)</f>
        <v>-9.6032753538461524E-2</v>
      </c>
      <c r="K459">
        <f>1.60054589230769*(0.3)</f>
        <v>0.48016376769230773</v>
      </c>
      <c r="L459">
        <f>0.784267487230769*(0.3)</f>
        <v>0.23528024616923079</v>
      </c>
      <c r="M459">
        <f>1.76060048153846*(0.3)</f>
        <v>0.5281801444615386</v>
      </c>
      <c r="N459">
        <f>1.60054589230769*(0.3)</f>
        <v>0.48016376769230773</v>
      </c>
    </row>
    <row r="460" spans="1:14" x14ac:dyDescent="0.25">
      <c r="A460">
        <f>-0.962296305*(0.3)</f>
        <v>-0.28868889149999999</v>
      </c>
      <c r="B460">
        <f>0.0740227926923077*(0.3)</f>
        <v>2.2206837807692306E-2</v>
      </c>
      <c r="C460">
        <f>0.222068378076923*(0.3)</f>
        <v>6.6620513423076913E-2</v>
      </c>
      <c r="D460">
        <f>0.0740227926923077*(0.3)</f>
        <v>2.2206837807692306E-2</v>
      </c>
      <c r="E460">
        <f>0.0740227926923077*(0.3)</f>
        <v>2.2206837807692306E-2</v>
      </c>
      <c r="F460">
        <f>0.0740227926923077*(0.3)</f>
        <v>2.2206837807692306E-2</v>
      </c>
      <c r="G460">
        <f>0.0444136756153846*(0.3)</f>
        <v>1.3324102684615383E-2</v>
      </c>
      <c r="H460">
        <f>0.0740227926923077*(0.3)</f>
        <v>2.2206837807692306E-2</v>
      </c>
      <c r="I460">
        <f>0.0740227926923077*(0.3)</f>
        <v>2.2206837807692306E-2</v>
      </c>
      <c r="J460">
        <f>-0.0148045585384615*(0.3)</f>
        <v>-4.4413675615384606E-3</v>
      </c>
      <c r="K460">
        <f>0.0740227926923077*(0.3)</f>
        <v>2.2206837807692306E-2</v>
      </c>
      <c r="L460">
        <f>0.0362711684192308*(0.3)</f>
        <v>1.088135052576923E-2</v>
      </c>
      <c r="M460">
        <f>0.0814250719615385*(0.3)</f>
        <v>2.4427521588461537E-2</v>
      </c>
      <c r="N460">
        <f>0.0740227926923077*(0.3)</f>
        <v>2.2206837807692306E-2</v>
      </c>
    </row>
    <row r="461" spans="1:14" x14ac:dyDescent="0.25">
      <c r="A461">
        <f>-21.88603363*(0.3)</f>
        <v>-6.5658100890000002</v>
      </c>
      <c r="B461">
        <f>1.68354104846154*(0.3)</f>
        <v>0.50506231453846151</v>
      </c>
      <c r="C461">
        <f>5.05062314538462*(0.3)</f>
        <v>1.5151869436153846</v>
      </c>
      <c r="D461">
        <f>1.68354104846154*(0.3)</f>
        <v>0.50506231453846151</v>
      </c>
      <c r="E461">
        <f>1.68354104846154*(0.3)</f>
        <v>0.50506231453846151</v>
      </c>
      <c r="F461">
        <f>1.68354104846154*(0.3)</f>
        <v>0.50506231453846151</v>
      </c>
      <c r="G461">
        <f>1.01012462907692*(0.3)</f>
        <v>0.30303738872307689</v>
      </c>
      <c r="H461">
        <f>1.68354104846154*(0.3)</f>
        <v>0.50506231453846151</v>
      </c>
      <c r="I461">
        <f>1.68354104846154*(0.3)</f>
        <v>0.50506231453846151</v>
      </c>
      <c r="J461">
        <f>-0.336708209692308*(0.3)</f>
        <v>-0.10101246290769229</v>
      </c>
      <c r="K461">
        <f>1.68354104846154*(0.3)</f>
        <v>0.50506231453846151</v>
      </c>
      <c r="L461">
        <f>0.824935113746154*(0.3)</f>
        <v>0.24748053412384613</v>
      </c>
      <c r="M461">
        <f>1.85189515330769*(0.3)</f>
        <v>0.55556854599230776</v>
      </c>
      <c r="N461">
        <f>1.68354104846154*(0.3)</f>
        <v>0.50506231453846151</v>
      </c>
    </row>
    <row r="462" spans="1:14" x14ac:dyDescent="0.25">
      <c r="A462">
        <f>-3.142420119*(0.3)</f>
        <v>-0.94272603570000002</v>
      </c>
      <c r="B462">
        <f>0.241724624538462*(0.3)</f>
        <v>7.2517387361538468E-2</v>
      </c>
      <c r="C462">
        <f>0.725173873615385*(0.3)</f>
        <v>0.21755216208461539</v>
      </c>
      <c r="D462">
        <f>0.241724624538462*(0.3)</f>
        <v>7.2517387361538468E-2</v>
      </c>
      <c r="E462">
        <f>0.241724624538462*(0.3)</f>
        <v>7.2517387361538468E-2</v>
      </c>
      <c r="F462">
        <f>0.241724624538462*(0.3)</f>
        <v>7.2517387361538468E-2</v>
      </c>
      <c r="G462">
        <f>0.145034774723077*(0.3)</f>
        <v>4.3510432416923081E-2</v>
      </c>
      <c r="H462">
        <f>0.241724624538462*(0.3)</f>
        <v>7.2517387361538468E-2</v>
      </c>
      <c r="I462">
        <f>0.241724624538462*(0.3)</f>
        <v>7.2517387361538468E-2</v>
      </c>
      <c r="J462">
        <f>-0.0483449249076923*(0.3)</f>
        <v>-1.450347747230769E-2</v>
      </c>
      <c r="K462">
        <f>0.241724624538462*(0.3)</f>
        <v>7.2517387361538468E-2</v>
      </c>
      <c r="L462">
        <f>0.118445066023846*(0.3)</f>
        <v>3.553351980715385E-2</v>
      </c>
      <c r="M462">
        <f>0.265897086992308*(0.3)</f>
        <v>7.9769126097692322E-2</v>
      </c>
      <c r="N462">
        <f>0.241724624538462*(0.3)</f>
        <v>7.2517387361538468E-2</v>
      </c>
    </row>
    <row r="463" spans="1:14" x14ac:dyDescent="0.25">
      <c r="A463">
        <f>-29.17313039*(0.3)</f>
        <v>-8.7519391169999992</v>
      </c>
      <c r="B463">
        <f>2.24408695307692*(0.3)</f>
        <v>0.67322608592307687</v>
      </c>
      <c r="C463">
        <f>6.73226085923077*(0.3)</f>
        <v>2.0196782577692303</v>
      </c>
      <c r="D463">
        <f>2.24408695307692*(0.3)</f>
        <v>0.67322608592307687</v>
      </c>
      <c r="E463">
        <f>2.24408695307692*(0.3)</f>
        <v>0.67322608592307687</v>
      </c>
      <c r="F463">
        <f>2.24408695307692*(0.3)</f>
        <v>0.67322608592307687</v>
      </c>
      <c r="G463">
        <f>1.34645217184615*(0.3)</f>
        <v>0.40393565155384609</v>
      </c>
      <c r="H463">
        <f>2.24408695307692*(0.3)</f>
        <v>0.67322608592307687</v>
      </c>
      <c r="I463">
        <f>2.24408695307692*(0.3)</f>
        <v>0.67322608592307687</v>
      </c>
      <c r="J463">
        <f>-0.448817390615385*(0.3)</f>
        <v>-0.13464521718461533</v>
      </c>
      <c r="K463">
        <f>2.24408695307692*(0.3)</f>
        <v>0.67322608592307687</v>
      </c>
      <c r="L463">
        <f>1.09960260700769*(0.3)</f>
        <v>0.3298807821023077</v>
      </c>
      <c r="M463">
        <f>2.46849564838462*(0.3)</f>
        <v>0.74054869451538463</v>
      </c>
      <c r="N463">
        <f>2.24408695307692*(0.3)</f>
        <v>0.67322608592307687</v>
      </c>
    </row>
    <row r="464" spans="1:14" x14ac:dyDescent="0.25">
      <c r="A464">
        <f>-1.112896901*(0.3)</f>
        <v>-0.33386907030000001</v>
      </c>
      <c r="B464">
        <f>0.0856074539230769*(0.3)</f>
        <v>2.5682236176923074E-2</v>
      </c>
      <c r="C464">
        <f>0.256822361769231*(0.3)</f>
        <v>7.704670853076924E-2</v>
      </c>
      <c r="D464">
        <f>0.0856074539230769*(0.3)</f>
        <v>2.5682236176923074E-2</v>
      </c>
      <c r="E464">
        <f>0.0856074539230769*(0.3)</f>
        <v>2.5682236176923074E-2</v>
      </c>
      <c r="F464">
        <f>0.0856074539230769*(0.3)</f>
        <v>2.5682236176923074E-2</v>
      </c>
      <c r="G464">
        <f>0.0513644723538461*(0.3)</f>
        <v>1.5409341706153844E-2</v>
      </c>
      <c r="H464">
        <f>0.0856074539230769*(0.3)</f>
        <v>2.5682236176923074E-2</v>
      </c>
      <c r="I464">
        <f>0.0856074539230769*(0.3)</f>
        <v>2.5682236176923074E-2</v>
      </c>
      <c r="J464">
        <f>-0.0171214907846154*(0.3)</f>
        <v>-5.1364472353846134E-3</v>
      </c>
      <c r="K464">
        <f>0.0856074539230769*(0.3)</f>
        <v>2.5682236176923074E-2</v>
      </c>
      <c r="L464">
        <f>0.0419476524223077*(0.3)</f>
        <v>1.2584295726692308E-2</v>
      </c>
      <c r="M464">
        <f>0.0941681993153846*(0.3)</f>
        <v>2.8250459794615383E-2</v>
      </c>
      <c r="N464">
        <f>0.0856074539230769*(0.3)</f>
        <v>2.5682236176923074E-2</v>
      </c>
    </row>
    <row r="465" spans="1:14" x14ac:dyDescent="0.25">
      <c r="A465">
        <f>0.099154405*(0.3)</f>
        <v>2.9746321499999999E-2</v>
      </c>
      <c r="B465">
        <f>-0.00762726192307692*(0.3)</f>
        <v>-2.2881785769230767E-3</v>
      </c>
      <c r="C465">
        <f>-0.0228817857692308*(0.3)</f>
        <v>-6.8645357307692305E-3</v>
      </c>
      <c r="D465">
        <f>-0.00762726192307692*(0.3)</f>
        <v>-2.2881785769230767E-3</v>
      </c>
      <c r="E465">
        <f>-0.00762726192307692*(0.3)</f>
        <v>-2.2881785769230767E-3</v>
      </c>
      <c r="F465">
        <f>-0.00762726192307692*(0.3)</f>
        <v>-2.2881785769230767E-3</v>
      </c>
      <c r="G465">
        <f>-0.00457635715384615*(0.3)</f>
        <v>-1.372907146153846E-3</v>
      </c>
      <c r="H465">
        <f>-0.00762726192307692*(0.3)</f>
        <v>-2.2881785769230767E-3</v>
      </c>
      <c r="I465">
        <f>-0.00762726192307692*(0.3)</f>
        <v>-2.2881785769230767E-3</v>
      </c>
      <c r="J465">
        <f>0.00152545238461538*(0.3)</f>
        <v>4.5763571538461528E-4</v>
      </c>
      <c r="K465">
        <f>-0.00762726192307692*(0.3)</f>
        <v>-2.2881785769230767E-3</v>
      </c>
      <c r="L465">
        <f>-0.00373735834230769*(0.3)</f>
        <v>-1.1212075026923076E-3</v>
      </c>
      <c r="M465">
        <f>-0.00838998811538462*(0.3)</f>
        <v>-2.5169964346153846E-3</v>
      </c>
      <c r="N465">
        <f>-0.00762726192307692*(0.3)</f>
        <v>-2.2881785769230767E-3</v>
      </c>
    </row>
    <row r="466" spans="1:14" x14ac:dyDescent="0.25">
      <c r="A466">
        <f>-1.930953518*(0.3)</f>
        <v>-0.5792860554</v>
      </c>
      <c r="B466">
        <f>0.148534886*(0.3)</f>
        <v>4.4560465799999997E-2</v>
      </c>
      <c r="C466">
        <f>0.445604658*(0.3)</f>
        <v>0.13368139740000001</v>
      </c>
      <c r="D466">
        <f>0.148534886*(0.3)</f>
        <v>4.4560465799999997E-2</v>
      </c>
      <c r="E466">
        <f>0.148534886*(0.3)</f>
        <v>4.4560465799999997E-2</v>
      </c>
      <c r="F466">
        <f>0.148534886*(0.3)</f>
        <v>4.4560465799999997E-2</v>
      </c>
      <c r="G466">
        <f>0.0891209316*(0.3)</f>
        <v>2.6736279479999996E-2</v>
      </c>
      <c r="H466">
        <f>0.148534886*(0.3)</f>
        <v>4.4560465799999997E-2</v>
      </c>
      <c r="I466">
        <f>0.148534886*(0.3)</f>
        <v>4.4560465799999997E-2</v>
      </c>
      <c r="J466">
        <f>-0.0297069772*(0.3)</f>
        <v>-8.9120931599999988E-3</v>
      </c>
      <c r="K466">
        <f>0.148534886*(0.3)</f>
        <v>4.4560465799999997E-2</v>
      </c>
      <c r="L466">
        <f>0.07278209414*(0.3)</f>
        <v>2.1834628242000002E-2</v>
      </c>
      <c r="M466">
        <f>0.1633883746*(0.3)</f>
        <v>4.9016512380000009E-2</v>
      </c>
      <c r="N466">
        <f>0.148534886*(0.3)</f>
        <v>4.4560465799999997E-2</v>
      </c>
    </row>
    <row r="467" spans="1:14" x14ac:dyDescent="0.25">
      <c r="A467">
        <f>-1.49462568*(0.3)</f>
        <v>-0.448387704</v>
      </c>
      <c r="B467">
        <f>0.114971206153846*(0.3)</f>
        <v>3.4491361846153847E-2</v>
      </c>
      <c r="C467">
        <f>0.344913618461538*(0.3)</f>
        <v>0.10347408553846153</v>
      </c>
      <c r="D467">
        <f>0.114971206153846*(0.3)</f>
        <v>3.4491361846153847E-2</v>
      </c>
      <c r="E467">
        <f>0.114971206153846*(0.3)</f>
        <v>3.4491361846153847E-2</v>
      </c>
      <c r="F467">
        <f>0.114971206153846*(0.3)</f>
        <v>3.4491361846153847E-2</v>
      </c>
      <c r="G467">
        <f>0.0689827236923077*(0.3)</f>
        <v>2.0694817107692307E-2</v>
      </c>
      <c r="H467">
        <f>0.114971206153846*(0.3)</f>
        <v>3.4491361846153847E-2</v>
      </c>
      <c r="I467">
        <f>0.114971206153846*(0.3)</f>
        <v>3.4491361846153847E-2</v>
      </c>
      <c r="J467">
        <f>-0.0229942412307692*(0.3)</f>
        <v>-6.8982723692307671E-3</v>
      </c>
      <c r="K467">
        <f>0.114971206153846*(0.3)</f>
        <v>3.4491361846153847E-2</v>
      </c>
      <c r="L467">
        <f>0.0563358910153846*(0.3)</f>
        <v>1.6900767304615382E-2</v>
      </c>
      <c r="M467">
        <f>0.126468326769231*(0.3)</f>
        <v>3.794049803076923E-2</v>
      </c>
      <c r="N467">
        <f>0.114971206153846*(0.3)</f>
        <v>3.4491361846153847E-2</v>
      </c>
    </row>
    <row r="468" spans="1:14" x14ac:dyDescent="0.25">
      <c r="A468">
        <f>-1.350613696*(0.3)</f>
        <v>-0.40518410879999994</v>
      </c>
      <c r="B468">
        <f>0.103893361230769*(0.3)</f>
        <v>3.1168008369230768E-2</v>
      </c>
      <c r="C468">
        <f>0.311680083692308*(0.3)</f>
        <v>9.3504025107692304E-2</v>
      </c>
      <c r="D468">
        <f>0.103893361230769*(0.3)</f>
        <v>3.1168008369230768E-2</v>
      </c>
      <c r="E468">
        <f>0.103893361230769*(0.3)</f>
        <v>3.1168008369230768E-2</v>
      </c>
      <c r="F468">
        <f>0.103893361230769*(0.3)</f>
        <v>3.1168008369230768E-2</v>
      </c>
      <c r="G468">
        <f>0.0623360167384615*(0.3)</f>
        <v>1.8700805021538459E-2</v>
      </c>
      <c r="H468">
        <f>0.103893361230769*(0.3)</f>
        <v>3.1168008369230768E-2</v>
      </c>
      <c r="I468">
        <f>0.103893361230769*(0.3)</f>
        <v>3.1168008369230768E-2</v>
      </c>
      <c r="J468">
        <f>-0.0207786722461538*(0.3)</f>
        <v>-6.2336016738461526E-3</v>
      </c>
      <c r="K468">
        <f>0.103893361230769*(0.3)</f>
        <v>3.1168008369230768E-2</v>
      </c>
      <c r="L468">
        <f>0.0509077470030769*(0.3)</f>
        <v>1.5272324100923074E-2</v>
      </c>
      <c r="M468">
        <f>0.114282697353846*(0.3)</f>
        <v>3.428480920615385E-2</v>
      </c>
      <c r="N468">
        <f>0.103893361230769*(0.3)</f>
        <v>3.1168008369230768E-2</v>
      </c>
    </row>
    <row r="469" spans="1:14" x14ac:dyDescent="0.25">
      <c r="A469">
        <f>0.862804881*(0.3)</f>
        <v>0.25884146429999999</v>
      </c>
      <c r="B469">
        <f>-0.0663696062307692*(0.3)</f>
        <v>-1.9910881869230769E-2</v>
      </c>
      <c r="C469">
        <f>-0.199108818692308*(0.3)</f>
        <v>-5.9732645607692307E-2</v>
      </c>
      <c r="D469">
        <f>-0.0663696062307692*(0.3)</f>
        <v>-1.9910881869230769E-2</v>
      </c>
      <c r="E469">
        <f>-0.0663696062307692*(0.3)</f>
        <v>-1.9910881869230769E-2</v>
      </c>
      <c r="F469">
        <f>-0.0663696062307692*(0.3)</f>
        <v>-1.9910881869230769E-2</v>
      </c>
      <c r="G469">
        <f>-0.0398217637384615*(0.3)</f>
        <v>-1.1946529121538461E-2</v>
      </c>
      <c r="H469">
        <f>-0.0663696062307692*(0.3)</f>
        <v>-1.9910881869230769E-2</v>
      </c>
      <c r="I469">
        <f>-0.0663696062307692*(0.3)</f>
        <v>-1.9910881869230769E-2</v>
      </c>
      <c r="J469">
        <f>0.0132739212461538*(0.3)</f>
        <v>3.9821763738461533E-3</v>
      </c>
      <c r="K469">
        <f>-0.0663696062307692*(0.3)</f>
        <v>-1.9910881869230769E-2</v>
      </c>
      <c r="L469">
        <f>-0.0325211070530769*(0.3)</f>
        <v>-9.7563321159230779E-3</v>
      </c>
      <c r="M469">
        <f>-0.0730065668538462*(0.3)</f>
        <v>-2.1901970056153849E-2</v>
      </c>
      <c r="N469">
        <f>-0.0663696062307692*(0.3)</f>
        <v>-1.9910881869230769E-2</v>
      </c>
    </row>
    <row r="470" spans="1:14" x14ac:dyDescent="0.25">
      <c r="A470">
        <f>-3.244296632*(0.3)</f>
        <v>-0.97328898959999999</v>
      </c>
      <c r="B470">
        <f>0.249561279384615*(0.3)</f>
        <v>7.4868383815384618E-2</v>
      </c>
      <c r="C470">
        <f>0.748683838153846*(0.3)</f>
        <v>0.22460515144615387</v>
      </c>
      <c r="D470">
        <f>0.249561279384615*(0.3)</f>
        <v>7.4868383815384618E-2</v>
      </c>
      <c r="E470">
        <f>0.249561279384615*(0.3)</f>
        <v>7.4868383815384618E-2</v>
      </c>
      <c r="F470">
        <f>0.249561279384615*(0.3)</f>
        <v>7.4868383815384618E-2</v>
      </c>
      <c r="G470">
        <f>0.149736767630769*(0.3)</f>
        <v>4.4921030289230772E-2</v>
      </c>
      <c r="H470">
        <f>0.249561279384615*(0.3)</f>
        <v>7.4868383815384618E-2</v>
      </c>
      <c r="I470">
        <f>0.249561279384615*(0.3)</f>
        <v>7.4868383815384618E-2</v>
      </c>
      <c r="J470">
        <f>-0.0499122558769231*(0.3)</f>
        <v>-1.4973676763076919E-2</v>
      </c>
      <c r="K470">
        <f>0.249561279384615*(0.3)</f>
        <v>7.4868383815384618E-2</v>
      </c>
      <c r="L470">
        <f>0.122285026898462*(0.3)</f>
        <v>3.6685508069538464E-2</v>
      </c>
      <c r="M470">
        <f>0.274517407323077*(0.3)</f>
        <v>8.2355222196923081E-2</v>
      </c>
      <c r="N470">
        <f>0.249561279384615*(0.3)</f>
        <v>7.4868383815384618E-2</v>
      </c>
    </row>
    <row r="471" spans="1:14" x14ac:dyDescent="0.25">
      <c r="A471">
        <f>0.0414345*(0.3)</f>
        <v>1.243035E-2</v>
      </c>
      <c r="B471">
        <f>-0.00318726923076923*(0.3)</f>
        <v>-9.5618076923076909E-4</v>
      </c>
      <c r="C471">
        <f>-0.00956180769230769*(0.3)</f>
        <v>-2.8685423076923078E-3</v>
      </c>
      <c r="D471">
        <f>-0.00318726923076923*(0.3)</f>
        <v>-9.5618076923076909E-4</v>
      </c>
      <c r="E471">
        <f>-0.00318726923076923*(0.3)</f>
        <v>-9.5618076923076909E-4</v>
      </c>
      <c r="F471">
        <f>-0.00318726923076923*(0.3)</f>
        <v>-9.5618076923076909E-4</v>
      </c>
      <c r="G471">
        <f>-0.00191236153846154*(0.3)</f>
        <v>-5.7370846153846145E-4</v>
      </c>
      <c r="H471">
        <f>-0.00318726923076923*(0.3)</f>
        <v>-9.5618076923076909E-4</v>
      </c>
      <c r="I471">
        <f>-0.00318726923076923*(0.3)</f>
        <v>-9.5618076923076909E-4</v>
      </c>
      <c r="J471">
        <f>0.000637453846153846*(0.3)</f>
        <v>1.9123615384615379E-4</v>
      </c>
      <c r="K471">
        <f>-0.00318726923076923*(0.3)</f>
        <v>-9.5618076923076909E-4</v>
      </c>
      <c r="L471">
        <f>-0.00156176192307692*(0.3)</f>
        <v>-4.6852857692307687E-4</v>
      </c>
      <c r="M471">
        <f>-0.00350599615384615*(0.3)</f>
        <v>-1.051798846153846E-3</v>
      </c>
      <c r="N471">
        <f>-0.00318726923076923*(0.3)</f>
        <v>-9.5618076923076909E-4</v>
      </c>
    </row>
    <row r="472" spans="1:14" x14ac:dyDescent="0.25">
      <c r="A472">
        <f>-1.572867126*(0.3)</f>
        <v>-0.47186013779999997</v>
      </c>
      <c r="B472">
        <f>0.120989778923077*(0.3)</f>
        <v>3.6296933676923077E-2</v>
      </c>
      <c r="C472">
        <f>0.362969336769231*(0.3)</f>
        <v>0.10889080103076923</v>
      </c>
      <c r="D472">
        <f>0.120989778923077*(0.3)</f>
        <v>3.6296933676923077E-2</v>
      </c>
      <c r="E472">
        <f>0.120989778923077*(0.3)</f>
        <v>3.6296933676923077E-2</v>
      </c>
      <c r="F472">
        <f>0.120989778923077*(0.3)</f>
        <v>3.6296933676923077E-2</v>
      </c>
      <c r="G472">
        <f>0.0725938673538462*(0.3)</f>
        <v>2.1778160206153845E-2</v>
      </c>
      <c r="H472">
        <f>0.120989778923077*(0.3)</f>
        <v>3.6296933676923077E-2</v>
      </c>
      <c r="I472">
        <f>0.120989778923077*(0.3)</f>
        <v>3.6296933676923077E-2</v>
      </c>
      <c r="J472">
        <f>-0.0241979557846154*(0.3)</f>
        <v>-7.2593867353846139E-3</v>
      </c>
      <c r="K472">
        <f>0.120989778923077*(0.3)</f>
        <v>3.6296933676923077E-2</v>
      </c>
      <c r="L472">
        <f>0.0592849916723077*(0.3)</f>
        <v>1.7785497501692307E-2</v>
      </c>
      <c r="M472">
        <f>0.133088756815385*(0.3)</f>
        <v>3.9926627044615387E-2</v>
      </c>
      <c r="N472">
        <f>0.120989778923077*(0.3)</f>
        <v>3.6296933676923077E-2</v>
      </c>
    </row>
    <row r="473" spans="1:14" x14ac:dyDescent="0.25">
      <c r="A473">
        <f>-4.200110482*(0.3)</f>
        <v>-1.2600331446000002</v>
      </c>
      <c r="B473">
        <f>0.323085421692308*(0.3)</f>
        <v>9.6925626507692306E-2</v>
      </c>
      <c r="C473">
        <f>0.969256265076923*(0.3)</f>
        <v>0.2907768795230769</v>
      </c>
      <c r="D473">
        <f>0.323085421692308*(0.3)</f>
        <v>9.6925626507692306E-2</v>
      </c>
      <c r="E473">
        <f>0.323085421692308*(0.3)</f>
        <v>9.6925626507692306E-2</v>
      </c>
      <c r="F473">
        <f>0.323085421692308*(0.3)</f>
        <v>9.6925626507692306E-2</v>
      </c>
      <c r="G473">
        <f>0.193851253015385*(0.3)</f>
        <v>5.8155375904615378E-2</v>
      </c>
      <c r="H473">
        <f>0.323085421692308*(0.3)</f>
        <v>9.6925626507692306E-2</v>
      </c>
      <c r="I473">
        <f>0.323085421692308*(0.3)</f>
        <v>9.6925626507692306E-2</v>
      </c>
      <c r="J473">
        <f>-0.0646170843384615*(0.3)</f>
        <v>-1.9385125301538457E-2</v>
      </c>
      <c r="K473">
        <f>0.323085421692308*(0.3)</f>
        <v>9.6925626507692306E-2</v>
      </c>
      <c r="L473">
        <f>0.158311856629231*(0.3)</f>
        <v>4.7493556988769232E-2</v>
      </c>
      <c r="M473">
        <f>0.355393963861538*(0.3)</f>
        <v>0.10661818915846154</v>
      </c>
      <c r="N473">
        <f>0.323085421692308*(0.3)</f>
        <v>9.6925626507692306E-2</v>
      </c>
    </row>
    <row r="474" spans="1:14" x14ac:dyDescent="0.25">
      <c r="A474">
        <f>-0.981355668*(0.3)</f>
        <v>-0.2944067004</v>
      </c>
      <c r="B474">
        <f>0.0754888975384615*(0.3)</f>
        <v>2.2646669261538462E-2</v>
      </c>
      <c r="C474">
        <f>0.226466692615385*(0.3)</f>
        <v>6.7940007784615383E-2</v>
      </c>
      <c r="D474">
        <f>0.0754888975384615*(0.3)</f>
        <v>2.2646669261538462E-2</v>
      </c>
      <c r="E474">
        <f>0.0754888975384615*(0.3)</f>
        <v>2.2646669261538462E-2</v>
      </c>
      <c r="F474">
        <f>0.0754888975384615*(0.3)</f>
        <v>2.2646669261538462E-2</v>
      </c>
      <c r="G474">
        <f>0.0452933385230769*(0.3)</f>
        <v>1.3588001556923078E-2</v>
      </c>
      <c r="H474">
        <f>0.0754888975384615*(0.3)</f>
        <v>2.2646669261538462E-2</v>
      </c>
      <c r="I474">
        <f>0.0754888975384615*(0.3)</f>
        <v>2.2646669261538462E-2</v>
      </c>
      <c r="J474">
        <f>-0.0150977795076923*(0.3)</f>
        <v>-4.5293338523076905E-3</v>
      </c>
      <c r="K474">
        <f>0.0754888975384615*(0.3)</f>
        <v>2.2646669261538462E-2</v>
      </c>
      <c r="L474">
        <f>0.0369895597938462*(0.3)</f>
        <v>1.1096867938153846E-2</v>
      </c>
      <c r="M474">
        <f>0.0830377872923077*(0.3)</f>
        <v>2.4911336187692309E-2</v>
      </c>
      <c r="N474">
        <f>0.0754888975384615*(0.3)</f>
        <v>2.2646669261538462E-2</v>
      </c>
    </row>
    <row r="475" spans="1:14" x14ac:dyDescent="0.25">
      <c r="A475">
        <f>0.817948378*(0.3)</f>
        <v>0.24538451339999998</v>
      </c>
      <c r="B475">
        <f>-0.062919106*(0.3)</f>
        <v>-1.88757318E-2</v>
      </c>
      <c r="C475">
        <f>-0.188757318*(0.3)</f>
        <v>-5.6627195399999997E-2</v>
      </c>
      <c r="D475">
        <f>-0.062919106*(0.3)</f>
        <v>-1.88757318E-2</v>
      </c>
      <c r="E475">
        <f>-0.062919106*(0.3)</f>
        <v>-1.88757318E-2</v>
      </c>
      <c r="F475">
        <f>-0.062919106*(0.3)</f>
        <v>-1.88757318E-2</v>
      </c>
      <c r="G475">
        <f>-0.0377514636*(0.3)</f>
        <v>-1.1325439079999999E-2</v>
      </c>
      <c r="H475">
        <f>-0.062919106*(0.3)</f>
        <v>-1.88757318E-2</v>
      </c>
      <c r="I475">
        <f>-0.062919106*(0.3)</f>
        <v>-1.88757318E-2</v>
      </c>
      <c r="J475">
        <f>0.0125838212*(0.3)</f>
        <v>3.7751463599999991E-3</v>
      </c>
      <c r="K475">
        <f>-0.062919106*(0.3)</f>
        <v>-1.88757318E-2</v>
      </c>
      <c r="L475">
        <f>-0.03083036194*(0.3)</f>
        <v>-9.249108582000001E-3</v>
      </c>
      <c r="M475">
        <f>-0.0692110166*(0.3)</f>
        <v>-2.0763304980000001E-2</v>
      </c>
      <c r="N475">
        <f>-0.062919106*(0.3)</f>
        <v>-1.88757318E-2</v>
      </c>
    </row>
    <row r="476" spans="1:14" x14ac:dyDescent="0.25">
      <c r="A476">
        <f>-1.850218855*(0.3)</f>
        <v>-0.55506565649999995</v>
      </c>
      <c r="B476">
        <f>0.142324527307692*(0.3)</f>
        <v>4.2697358192307695E-2</v>
      </c>
      <c r="C476">
        <f>0.426973581923077*(0.3)</f>
        <v>0.12809207457692309</v>
      </c>
      <c r="D476">
        <f>0.142324527307692*(0.3)</f>
        <v>4.2697358192307695E-2</v>
      </c>
      <c r="E476">
        <f>0.142324527307692*(0.3)</f>
        <v>4.2697358192307695E-2</v>
      </c>
      <c r="F476">
        <f>0.142324527307692*(0.3)</f>
        <v>4.2697358192307695E-2</v>
      </c>
      <c r="G476">
        <f>0.0853947163846154*(0.3)</f>
        <v>2.5618414915384618E-2</v>
      </c>
      <c r="H476">
        <f>0.142324527307692*(0.3)</f>
        <v>4.2697358192307695E-2</v>
      </c>
      <c r="I476">
        <f>0.142324527307692*(0.3)</f>
        <v>4.2697358192307695E-2</v>
      </c>
      <c r="J476">
        <f>-0.0284649054615385*(0.3)</f>
        <v>-8.539471638461537E-3</v>
      </c>
      <c r="K476">
        <f>0.142324527307692*(0.3)</f>
        <v>4.2697358192307695E-2</v>
      </c>
      <c r="L476">
        <f>0.0697390183807692*(0.3)</f>
        <v>2.0921705514230771E-2</v>
      </c>
      <c r="M476">
        <f>0.156556980038462*(0.3)</f>
        <v>4.6967094011538472E-2</v>
      </c>
      <c r="N476">
        <f>0.142324527307692*(0.3)</f>
        <v>4.2697358192307695E-2</v>
      </c>
    </row>
    <row r="477" spans="1:14" x14ac:dyDescent="0.25">
      <c r="A477">
        <f>1.517912175*(0.3)</f>
        <v>0.45537365249999995</v>
      </c>
      <c r="B477">
        <f>-0.116762475*(0.3)</f>
        <v>-3.5028742500000001E-2</v>
      </c>
      <c r="C477">
        <f>-0.350287425*(0.3)</f>
        <v>-0.10508622749999999</v>
      </c>
      <c r="D477">
        <f>-0.116762475*(0.3)</f>
        <v>-3.5028742500000001E-2</v>
      </c>
      <c r="E477">
        <f>-0.116762475*(0.3)</f>
        <v>-3.5028742500000001E-2</v>
      </c>
      <c r="F477">
        <f>-0.116762475*(0.3)</f>
        <v>-3.5028742500000001E-2</v>
      </c>
      <c r="G477">
        <f>-0.070057485*(0.3)</f>
        <v>-2.10172455E-2</v>
      </c>
      <c r="H477">
        <f>-0.116762475*(0.3)</f>
        <v>-3.5028742500000001E-2</v>
      </c>
      <c r="I477">
        <f>-0.116762475*(0.3)</f>
        <v>-3.5028742500000001E-2</v>
      </c>
      <c r="J477">
        <f>0.023352495*(0.3)</f>
        <v>7.0057484999999989E-3</v>
      </c>
      <c r="K477">
        <f>-0.116762475*(0.3)</f>
        <v>-3.5028742500000001E-2</v>
      </c>
      <c r="L477">
        <f>-0.05721361275*(0.3)</f>
        <v>-1.7164083824999999E-2</v>
      </c>
      <c r="M477">
        <f>-0.1284387225*(0.3)</f>
        <v>-3.8531616750000004E-2</v>
      </c>
      <c r="N477">
        <f>-0.116762475*(0.3)</f>
        <v>-3.5028742500000001E-2</v>
      </c>
    </row>
    <row r="478" spans="1:14" x14ac:dyDescent="0.25">
      <c r="A478">
        <f>0.587636794*(0.3)</f>
        <v>0.1762910382</v>
      </c>
      <c r="B478">
        <f>-0.0452028303076923*(0.3)</f>
        <v>-1.3560849092307693E-2</v>
      </c>
      <c r="C478">
        <f>-0.135608490923077*(0.3)</f>
        <v>-4.0682547276923074E-2</v>
      </c>
      <c r="D478">
        <f>-0.0452028303076923*(0.3)</f>
        <v>-1.3560849092307693E-2</v>
      </c>
      <c r="E478">
        <f>-0.0452028303076923*(0.3)</f>
        <v>-1.3560849092307693E-2</v>
      </c>
      <c r="F478">
        <f>-0.0452028303076923*(0.3)</f>
        <v>-1.3560849092307693E-2</v>
      </c>
      <c r="G478">
        <f>-0.0271216981846154*(0.3)</f>
        <v>-8.1365094553846155E-3</v>
      </c>
      <c r="H478">
        <f>-0.0452028303076923*(0.3)</f>
        <v>-1.3560849092307693E-2</v>
      </c>
      <c r="I478">
        <f>-0.0452028303076923*(0.3)</f>
        <v>-1.3560849092307693E-2</v>
      </c>
      <c r="J478">
        <f>0.00904056606153846*(0.3)</f>
        <v>2.7121698184615381E-3</v>
      </c>
      <c r="K478">
        <f>-0.0452028303076923*(0.3)</f>
        <v>-1.3560849092307693E-2</v>
      </c>
      <c r="L478">
        <f>-0.0221493868507692*(0.3)</f>
        <v>-6.6448160552307683E-3</v>
      </c>
      <c r="M478">
        <f>-0.0497231133384615*(0.3)</f>
        <v>-1.4916934001538462E-2</v>
      </c>
      <c r="N478">
        <f>-0.0452028303076923*(0.3)</f>
        <v>-1.3560849092307693E-2</v>
      </c>
    </row>
    <row r="479" spans="1:14" x14ac:dyDescent="0.25">
      <c r="A479">
        <f>0.484286324*(0.3)</f>
        <v>0.14528589719999999</v>
      </c>
      <c r="B479">
        <f>-0.0372527941538461*(0.3)</f>
        <v>-1.1175838246153844E-2</v>
      </c>
      <c r="C479">
        <f>-0.111758382461538*(0.3)</f>
        <v>-3.3527514738461536E-2</v>
      </c>
      <c r="D479">
        <f>-0.0372527941538461*(0.3)</f>
        <v>-1.1175838246153844E-2</v>
      </c>
      <c r="E479">
        <f>-0.0372527941538461*(0.3)</f>
        <v>-1.1175838246153844E-2</v>
      </c>
      <c r="F479">
        <f>-0.0372527941538461*(0.3)</f>
        <v>-1.1175838246153844E-2</v>
      </c>
      <c r="G479">
        <f>-0.0223516764923077*(0.3)</f>
        <v>-6.705502947692306E-3</v>
      </c>
      <c r="H479">
        <f>-0.0372527941538461*(0.3)</f>
        <v>-1.1175838246153844E-2</v>
      </c>
      <c r="I479">
        <f>-0.0372527941538461*(0.3)</f>
        <v>-1.1175838246153844E-2</v>
      </c>
      <c r="J479">
        <f>0.00745055883076923*(0.3)</f>
        <v>2.2351676492307682E-3</v>
      </c>
      <c r="K479">
        <f>-0.0372527941538461*(0.3)</f>
        <v>-1.1175838246153844E-2</v>
      </c>
      <c r="L479">
        <f>-0.0182538691353846*(0.3)</f>
        <v>-5.4761607406153831E-3</v>
      </c>
      <c r="M479">
        <f>-0.0409780735692308*(0.3)</f>
        <v>-1.2293422070769231E-2</v>
      </c>
      <c r="N479">
        <f>-0.0372527941538461*(0.3)</f>
        <v>-1.1175838246153844E-2</v>
      </c>
    </row>
    <row r="480" spans="1:14" x14ac:dyDescent="0.25">
      <c r="A480">
        <f>-1.001070895*(0.3)</f>
        <v>-0.30032126850000002</v>
      </c>
      <c r="B480">
        <f>0.0770054534615385*(0.3)</f>
        <v>2.3101636038461538E-2</v>
      </c>
      <c r="C480">
        <f>0.231016360384615*(0.3)</f>
        <v>6.9304908115384603E-2</v>
      </c>
      <c r="D480">
        <f>0.0770054534615385*(0.3)</f>
        <v>2.3101636038461538E-2</v>
      </c>
      <c r="E480">
        <f>0.0770054534615385*(0.3)</f>
        <v>2.3101636038461538E-2</v>
      </c>
      <c r="F480">
        <f>0.0770054534615385*(0.3)</f>
        <v>2.3101636038461538E-2</v>
      </c>
      <c r="G480">
        <f>0.0462032720769231*(0.3)</f>
        <v>1.3860981623076923E-2</v>
      </c>
      <c r="H480">
        <f>0.0770054534615385*(0.3)</f>
        <v>2.3101636038461538E-2</v>
      </c>
      <c r="I480">
        <f>0.0770054534615385*(0.3)</f>
        <v>2.3101636038461538E-2</v>
      </c>
      <c r="J480">
        <f>-0.0154010906923077*(0.3)</f>
        <v>-4.6203272076923065E-3</v>
      </c>
      <c r="K480">
        <f>0.0770054534615385*(0.3)</f>
        <v>2.3101636038461538E-2</v>
      </c>
      <c r="L480">
        <f>0.0377326721961538*(0.3)</f>
        <v>1.1319801658846154E-2</v>
      </c>
      <c r="M480">
        <f>0.0847059988076923*(0.3)</f>
        <v>2.5411799642307695E-2</v>
      </c>
      <c r="N480">
        <f>0.0770054534615385*(0.3)</f>
        <v>2.3101636038461538E-2</v>
      </c>
    </row>
    <row r="481" spans="1:14" x14ac:dyDescent="0.25">
      <c r="A481">
        <f>-16.53002609*(0.3)</f>
        <v>-4.9590078269999998</v>
      </c>
      <c r="B481">
        <f>1.27154046846154*(0.3)</f>
        <v>0.3814621405384615</v>
      </c>
      <c r="C481">
        <f>3.81462140538462*(0.3)</f>
        <v>1.1443864216153845</v>
      </c>
      <c r="D481">
        <f>1.27154046846154*(0.3)</f>
        <v>0.3814621405384615</v>
      </c>
      <c r="E481">
        <f>1.27154046846154*(0.3)</f>
        <v>0.3814621405384615</v>
      </c>
      <c r="F481">
        <f>1.27154046846154*(0.3)</f>
        <v>0.3814621405384615</v>
      </c>
      <c r="G481">
        <f>0.762924281076923*(0.3)</f>
        <v>0.22887728432307688</v>
      </c>
      <c r="H481">
        <f>1.27154046846154*(0.3)</f>
        <v>0.3814621405384615</v>
      </c>
      <c r="I481">
        <f>1.27154046846154*(0.3)</f>
        <v>0.3814621405384615</v>
      </c>
      <c r="J481">
        <f>-0.254308093692308*(0.3)</f>
        <v>-7.6292428107692281E-2</v>
      </c>
      <c r="K481">
        <f>1.27154046846154*(0.3)</f>
        <v>0.3814621405384615</v>
      </c>
      <c r="L481">
        <f>0.623054829546154*(0.3)</f>
        <v>0.18691644886384612</v>
      </c>
      <c r="M481">
        <f>1.39869451530769*(0.3)</f>
        <v>0.41960835459230772</v>
      </c>
      <c r="N481">
        <f>1.27154046846154*(0.3)</f>
        <v>0.3814621405384615</v>
      </c>
    </row>
    <row r="482" spans="1:14" x14ac:dyDescent="0.25">
      <c r="A482">
        <f>-0.168130068*(0.3)</f>
        <v>-5.0439020399999999E-2</v>
      </c>
      <c r="B482">
        <f>0.0129330821538462*(0.3)</f>
        <v>3.8799246461538456E-3</v>
      </c>
      <c r="C482">
        <f>0.0387992464615385*(0.3)</f>
        <v>1.1639773938461537E-2</v>
      </c>
      <c r="D482">
        <f>0.0129330821538462*(0.3)</f>
        <v>3.8799246461538456E-3</v>
      </c>
      <c r="E482">
        <f>0.0129330821538462*(0.3)</f>
        <v>3.8799246461538456E-3</v>
      </c>
      <c r="F482">
        <f>0.0129330821538462*(0.3)</f>
        <v>3.8799246461538456E-3</v>
      </c>
      <c r="G482">
        <f>0.00775984929230769*(0.3)</f>
        <v>2.3279547876923073E-3</v>
      </c>
      <c r="H482">
        <f>0.0129330821538462*(0.3)</f>
        <v>3.8799246461538456E-3</v>
      </c>
      <c r="I482">
        <f>0.0129330821538462*(0.3)</f>
        <v>3.8799246461538456E-3</v>
      </c>
      <c r="J482">
        <f>-0.00258661643076923*(0.3)</f>
        <v>-7.7598492923076901E-4</v>
      </c>
      <c r="K482">
        <f>0.0129330821538462*(0.3)</f>
        <v>3.8799246461538456E-3</v>
      </c>
      <c r="L482">
        <f>0.00633721025538461*(0.3)</f>
        <v>1.9011630766153844E-3</v>
      </c>
      <c r="M482">
        <f>0.0142263903692308*(0.3)</f>
        <v>4.267917110769231E-3</v>
      </c>
      <c r="N482">
        <f>0.0129330821538462*(0.3)</f>
        <v>3.8799246461538456E-3</v>
      </c>
    </row>
    <row r="483" spans="1:14" x14ac:dyDescent="0.25">
      <c r="A483">
        <f>-25.47202183*(0.3)</f>
        <v>-7.6416065489999996</v>
      </c>
      <c r="B483">
        <f>1.95938629461538*(0.3)</f>
        <v>0.5878158883846154</v>
      </c>
      <c r="C483">
        <f>5.87815888384615*(0.3)</f>
        <v>1.763447665153846</v>
      </c>
      <c r="D483">
        <f>1.95938629461538*(0.3)</f>
        <v>0.5878158883846154</v>
      </c>
      <c r="E483">
        <f>1.95938629461538*(0.3)</f>
        <v>0.5878158883846154</v>
      </c>
      <c r="F483">
        <f>1.95938629461538*(0.3)</f>
        <v>0.5878158883846154</v>
      </c>
      <c r="G483">
        <f>1.17563177676923*(0.3)</f>
        <v>0.35268953303076922</v>
      </c>
      <c r="H483">
        <f>1.95938629461538*(0.3)</f>
        <v>0.5878158883846154</v>
      </c>
      <c r="I483">
        <f>1.95938629461538*(0.3)</f>
        <v>0.5878158883846154</v>
      </c>
      <c r="J483">
        <f>-0.391877258923077*(0.3)</f>
        <v>-0.11756317767692305</v>
      </c>
      <c r="K483">
        <f>1.95938629461538*(0.3)</f>
        <v>0.5878158883846154</v>
      </c>
      <c r="L483">
        <f>0.960099284361538*(0.3)</f>
        <v>0.28802978530846152</v>
      </c>
      <c r="M483">
        <f>2.15532492407692*(0.3)</f>
        <v>0.64659747722307692</v>
      </c>
      <c r="N483">
        <f>1.95938629461538*(0.3)</f>
        <v>0.5878158883846154</v>
      </c>
    </row>
    <row r="484" spans="1:14" x14ac:dyDescent="0.25">
      <c r="A484">
        <f>0.098532761*(0.3)</f>
        <v>2.9559828299999997E-2</v>
      </c>
      <c r="B484">
        <f>-0.00757944315384615*(0.3)</f>
        <v>-2.2738329461538462E-3</v>
      </c>
      <c r="C484">
        <f>-0.0227383294615385*(0.3)</f>
        <v>-6.8214988384615385E-3</v>
      </c>
      <c r="D484">
        <f>-0.00757944315384615*(0.3)</f>
        <v>-2.2738329461538462E-3</v>
      </c>
      <c r="E484">
        <f>-0.00757944315384615*(0.3)</f>
        <v>-2.2738329461538462E-3</v>
      </c>
      <c r="F484">
        <f>-0.00757944315384615*(0.3)</f>
        <v>-2.2738329461538462E-3</v>
      </c>
      <c r="G484">
        <f>-0.00454766589230769*(0.3)</f>
        <v>-1.3642997676923078E-3</v>
      </c>
      <c r="H484">
        <f>-0.00757944315384615*(0.3)</f>
        <v>-2.2738329461538462E-3</v>
      </c>
      <c r="I484">
        <f>-0.00757944315384615*(0.3)</f>
        <v>-2.2738329461538462E-3</v>
      </c>
      <c r="J484">
        <f>0.00151588863076923*(0.3)</f>
        <v>4.5476658923076911E-4</v>
      </c>
      <c r="K484">
        <f>-0.00757944315384615*(0.3)</f>
        <v>-2.2738329461538462E-3</v>
      </c>
      <c r="L484">
        <f>-0.00371392714538462*(0.3)</f>
        <v>-1.1141781436153845E-3</v>
      </c>
      <c r="M484">
        <f>-0.00833738746923077*(0.3)</f>
        <v>-2.5012162407692311E-3</v>
      </c>
      <c r="N484">
        <f>-0.00757944315384615*(0.3)</f>
        <v>-2.2738329461538462E-3</v>
      </c>
    </row>
    <row r="485" spans="1:14" x14ac:dyDescent="0.25">
      <c r="A485">
        <f>-35.84088306*(0.3)</f>
        <v>-10.752264918</v>
      </c>
      <c r="B485">
        <f>2.75699100461538*(0.3)</f>
        <v>0.82709730138461535</v>
      </c>
      <c r="C485">
        <f>8.27097301384615*(0.3)</f>
        <v>2.4812919041538462</v>
      </c>
      <c r="D485">
        <f>2.75699100461538*(0.3)</f>
        <v>0.82709730138461535</v>
      </c>
      <c r="E485">
        <f>2.75699100461538*(0.3)</f>
        <v>0.82709730138461535</v>
      </c>
      <c r="F485">
        <f>2.75699100461538*(0.3)</f>
        <v>0.82709730138461535</v>
      </c>
      <c r="G485">
        <f>1.65419460276923*(0.3)</f>
        <v>0.49625838083076917</v>
      </c>
      <c r="H485">
        <f>2.75699100461538*(0.3)</f>
        <v>0.82709730138461535</v>
      </c>
      <c r="I485">
        <f>2.75699100461538*(0.3)</f>
        <v>0.82709730138461535</v>
      </c>
      <c r="J485">
        <f>-0.551398200923077*(0.3)</f>
        <v>-0.16541946027692303</v>
      </c>
      <c r="K485">
        <f>2.75699100461538*(0.3)</f>
        <v>0.82709730138461535</v>
      </c>
      <c r="L485">
        <f>1.35092559226154*(0.3)</f>
        <v>0.40527767767846151</v>
      </c>
      <c r="M485">
        <f>3.03269010507692*(0.3)</f>
        <v>0.90980703152307696</v>
      </c>
      <c r="N485">
        <f>2.75699100461538*(0.3)</f>
        <v>0.82709730138461535</v>
      </c>
    </row>
    <row r="486" spans="1:14" x14ac:dyDescent="0.25">
      <c r="A486">
        <f>1.391303981*(0.3)</f>
        <v>0.41739119429999999</v>
      </c>
      <c r="B486">
        <f>-0.107023383153846*(0.3)</f>
        <v>-3.2107014946153846E-2</v>
      </c>
      <c r="C486">
        <f>-0.321070149461538*(0.3)</f>
        <v>-9.6321044838461531E-2</v>
      </c>
      <c r="D486">
        <f>-0.107023383153846*(0.3)</f>
        <v>-3.2107014946153846E-2</v>
      </c>
      <c r="E486">
        <f>-0.107023383153846*(0.3)</f>
        <v>-3.2107014946153846E-2</v>
      </c>
      <c r="F486">
        <f>-0.107023383153846*(0.3)</f>
        <v>-3.2107014946153846E-2</v>
      </c>
      <c r="G486">
        <f>-0.0642140298923077*(0.3)</f>
        <v>-1.9264208967692306E-2</v>
      </c>
      <c r="H486">
        <f>-0.107023383153846*(0.3)</f>
        <v>-3.2107014946153846E-2</v>
      </c>
      <c r="I486">
        <f>-0.107023383153846*(0.3)</f>
        <v>-3.2107014946153846E-2</v>
      </c>
      <c r="J486">
        <f>0.0214046766307692*(0.3)</f>
        <v>6.4214029892307673E-3</v>
      </c>
      <c r="K486">
        <f>-0.107023383153846*(0.3)</f>
        <v>-3.2107014946153846E-2</v>
      </c>
      <c r="L486">
        <f>-0.0524414577453846*(0.3)</f>
        <v>-1.5732437323615386E-2</v>
      </c>
      <c r="M486">
        <f>-0.117725721469231*(0.3)</f>
        <v>-3.5317716440769233E-2</v>
      </c>
      <c r="N486">
        <f>-0.107023383153846*(0.3)</f>
        <v>-3.2107014946153846E-2</v>
      </c>
    </row>
    <row r="487" spans="1:14" x14ac:dyDescent="0.25">
      <c r="A487">
        <f>-41.38766*(0.3)</f>
        <v>-12.416297999999999</v>
      </c>
      <c r="B487">
        <f>3.18366615384615*(0.3)</f>
        <v>0.95509984615384602</v>
      </c>
      <c r="C487">
        <f>9.55099846153846*(0.3)</f>
        <v>2.8652995384615383</v>
      </c>
      <c r="D487">
        <f>3.18366615384615*(0.3)</f>
        <v>0.95509984615384602</v>
      </c>
      <c r="E487">
        <f>3.18366615384615*(0.3)</f>
        <v>0.95509984615384602</v>
      </c>
      <c r="F487">
        <f>3.18366615384615*(0.3)</f>
        <v>0.95509984615384602</v>
      </c>
      <c r="G487">
        <f>1.91019969230769*(0.3)</f>
        <v>0.57305990769230764</v>
      </c>
      <c r="H487">
        <f>3.18366615384615*(0.3)</f>
        <v>0.95509984615384602</v>
      </c>
      <c r="I487">
        <f>3.18366615384615*(0.3)</f>
        <v>0.95509984615384602</v>
      </c>
      <c r="J487">
        <f>-0.636733230769231*(0.3)</f>
        <v>-0.19101996923076917</v>
      </c>
      <c r="K487">
        <f>3.18366615384615*(0.3)</f>
        <v>0.95509984615384602</v>
      </c>
      <c r="L487">
        <f>1.55999641538462*(0.3)</f>
        <v>0.46799892461538456</v>
      </c>
      <c r="M487">
        <f>3.50203276923077*(0.3)</f>
        <v>1.0506098307692309</v>
      </c>
      <c r="N487">
        <f>3.18366615384615*(0.3)</f>
        <v>0.95509984615384602</v>
      </c>
    </row>
    <row r="488" spans="1:14" x14ac:dyDescent="0.25">
      <c r="A488">
        <f>1.097580335*(0.3)</f>
        <v>0.3292741005</v>
      </c>
      <c r="B488">
        <f>-0.0844292565384615*(0.3)</f>
        <v>-2.5328776961538461E-2</v>
      </c>
      <c r="C488">
        <f>-0.253287769615385*(0.3)</f>
        <v>-7.5986330884615372E-2</v>
      </c>
      <c r="D488">
        <f>-0.0844292565384615*(0.3)</f>
        <v>-2.5328776961538461E-2</v>
      </c>
      <c r="E488">
        <f>-0.0844292565384615*(0.3)</f>
        <v>-2.5328776961538461E-2</v>
      </c>
      <c r="F488">
        <f>-0.0844292565384615*(0.3)</f>
        <v>-2.5328776961538461E-2</v>
      </c>
      <c r="G488">
        <f>-0.0506575539230769*(0.3)</f>
        <v>-1.5197266176923076E-2</v>
      </c>
      <c r="H488">
        <f>-0.0844292565384615*(0.3)</f>
        <v>-2.5328776961538461E-2</v>
      </c>
      <c r="I488">
        <f>-0.0844292565384615*(0.3)</f>
        <v>-2.5328776961538461E-2</v>
      </c>
      <c r="J488">
        <f>0.0168858513076923*(0.3)</f>
        <v>5.0657553923076906E-3</v>
      </c>
      <c r="K488">
        <f>-0.0844292565384615*(0.3)</f>
        <v>-2.5328776961538461E-2</v>
      </c>
      <c r="L488">
        <f>-0.0413703357038461*(0.3)</f>
        <v>-1.2411100711153844E-2</v>
      </c>
      <c r="M488">
        <f>-0.0928721821923077*(0.3)</f>
        <v>-2.7861654657692306E-2</v>
      </c>
      <c r="N488">
        <f>-0.0844292565384615*(0.3)</f>
        <v>-2.5328776961538461E-2</v>
      </c>
    </row>
    <row r="489" spans="1:14" x14ac:dyDescent="0.25">
      <c r="A489">
        <f>-52.55313668*(0.3)</f>
        <v>-15.765941004</v>
      </c>
      <c r="B489">
        <f>4.04254897538462*(0.3)</f>
        <v>1.2127646926153848</v>
      </c>
      <c r="C489">
        <f>12.1276469261538*(0.3)</f>
        <v>3.6382940778461541</v>
      </c>
      <c r="D489">
        <f>4.04254897538462*(0.3)</f>
        <v>1.2127646926153848</v>
      </c>
      <c r="E489">
        <f>4.04254897538462*(0.3)</f>
        <v>1.2127646926153848</v>
      </c>
      <c r="F489">
        <f>4.04254897538462*(0.3)</f>
        <v>1.2127646926153848</v>
      </c>
      <c r="G489">
        <f>2.42552938523077*(0.3)</f>
        <v>0.72765881556923084</v>
      </c>
      <c r="H489">
        <f>4.04254897538462*(0.3)</f>
        <v>1.2127646926153848</v>
      </c>
      <c r="I489">
        <f>4.04254897538462*(0.3)</f>
        <v>1.2127646926153848</v>
      </c>
      <c r="J489">
        <f>-0.808509795076923*(0.3)</f>
        <v>-0.24255293852307688</v>
      </c>
      <c r="K489">
        <f>4.04254897538462*(0.3)</f>
        <v>1.2127646926153848</v>
      </c>
      <c r="L489">
        <f>1.98084899793846*(0.3)</f>
        <v>0.59425469938153841</v>
      </c>
      <c r="M489">
        <f>4.44680387292308*(0.3)</f>
        <v>1.3340411618769232</v>
      </c>
      <c r="N489">
        <f>4.04254897538462*(0.3)</f>
        <v>1.2127646926153848</v>
      </c>
    </row>
    <row r="490" spans="1:14" x14ac:dyDescent="0.25">
      <c r="A490">
        <f>-1.397226285*(0.3)</f>
        <v>-0.41916788549999995</v>
      </c>
      <c r="B490">
        <f>0.107478945*(0.3)</f>
        <v>3.2243683499999995E-2</v>
      </c>
      <c r="C490">
        <f>0.322436835*(0.3)</f>
        <v>9.6731050499999985E-2</v>
      </c>
      <c r="D490">
        <f>0.107478945*(0.3)</f>
        <v>3.2243683499999995E-2</v>
      </c>
      <c r="E490">
        <f>0.107478945*(0.3)</f>
        <v>3.2243683499999995E-2</v>
      </c>
      <c r="F490">
        <f>0.107478945*(0.3)</f>
        <v>3.2243683499999995E-2</v>
      </c>
      <c r="G490">
        <f>0.064487367*(0.3)</f>
        <v>1.9346210099999997E-2</v>
      </c>
      <c r="H490">
        <f>0.107478945*(0.3)</f>
        <v>3.2243683499999995E-2</v>
      </c>
      <c r="I490">
        <f>0.107478945*(0.3)</f>
        <v>3.2243683499999995E-2</v>
      </c>
      <c r="J490">
        <f>-0.021495789*(0.3)</f>
        <v>-6.4487366999999981E-3</v>
      </c>
      <c r="K490">
        <f>0.107478945*(0.3)</f>
        <v>3.2243683499999995E-2</v>
      </c>
      <c r="L490">
        <f>0.05266468305*(0.3)</f>
        <v>1.5799404914999999E-2</v>
      </c>
      <c r="M490">
        <f>0.1182268395*(0.3)</f>
        <v>3.5468051850000001E-2</v>
      </c>
      <c r="N490">
        <f>0.107478945*(0.3)</f>
        <v>3.2243683499999995E-2</v>
      </c>
    </row>
    <row r="491" spans="1:14" x14ac:dyDescent="0.25">
      <c r="A491">
        <f>-63.91168243*(0.3)</f>
        <v>-19.173504728999998</v>
      </c>
      <c r="B491">
        <f>4.91628326384615*(0.3)</f>
        <v>1.4748849791538461</v>
      </c>
      <c r="C491">
        <f>14.7488497915385*(0.3)</f>
        <v>4.424654937461538</v>
      </c>
      <c r="D491">
        <f>4.91628326384615*(0.3)</f>
        <v>1.4748849791538461</v>
      </c>
      <c r="E491">
        <f>4.91628326384615*(0.3)</f>
        <v>1.4748849791538461</v>
      </c>
      <c r="F491">
        <f>4.91628326384615*(0.3)</f>
        <v>1.4748849791538461</v>
      </c>
      <c r="G491">
        <f>2.94976995830769*(0.3)</f>
        <v>0.88493098749230759</v>
      </c>
      <c r="H491">
        <f>4.91628326384615*(0.3)</f>
        <v>1.4748849791538461</v>
      </c>
      <c r="I491">
        <f>4.91628326384615*(0.3)</f>
        <v>1.4748849791538461</v>
      </c>
      <c r="J491">
        <f>-0.983256652769231*(0.3)</f>
        <v>-0.29497699583076914</v>
      </c>
      <c r="K491">
        <f>4.91628326384615*(0.3)</f>
        <v>1.4748849791538461</v>
      </c>
      <c r="L491">
        <f>2.40897879928462*(0.3)</f>
        <v>0.72269363978538459</v>
      </c>
      <c r="M491">
        <f>5.40791159023077*(0.3)</f>
        <v>1.6223734770692309</v>
      </c>
      <c r="N491">
        <f>4.91628326384615*(0.3)</f>
        <v>1.4748849791538461</v>
      </c>
    </row>
    <row r="492" spans="1:14" x14ac:dyDescent="0.25">
      <c r="A492">
        <f>-0.927797267*(0.3)</f>
        <v>-0.27833918009999997</v>
      </c>
      <c r="B492">
        <f>0.0713690205384615*(0.3)</f>
        <v>2.1410706161538458E-2</v>
      </c>
      <c r="C492">
        <f>0.214107061615385*(0.3)</f>
        <v>6.423211848461538E-2</v>
      </c>
      <c r="D492">
        <f>0.0713690205384615*(0.3)</f>
        <v>2.1410706161538458E-2</v>
      </c>
      <c r="E492">
        <f>0.0713690205384615*(0.3)</f>
        <v>2.1410706161538458E-2</v>
      </c>
      <c r="F492">
        <f>0.0713690205384615*(0.3)</f>
        <v>2.1410706161538458E-2</v>
      </c>
      <c r="G492">
        <f>0.0428214123230769*(0.3)</f>
        <v>1.2846423696923074E-2</v>
      </c>
      <c r="H492">
        <f>0.0713690205384615*(0.3)</f>
        <v>2.1410706161538458E-2</v>
      </c>
      <c r="I492">
        <f>0.0713690205384615*(0.3)</f>
        <v>2.1410706161538458E-2</v>
      </c>
      <c r="J492">
        <f>-0.0142738041076923*(0.3)</f>
        <v>-4.2821412323076902E-3</v>
      </c>
      <c r="K492">
        <f>0.0713690205384615*(0.3)</f>
        <v>2.1410706161538458E-2</v>
      </c>
      <c r="L492">
        <f>0.0349708200638462*(0.3)</f>
        <v>1.0491246019153844E-2</v>
      </c>
      <c r="M492">
        <f>0.0785059225923077*(0.3)</f>
        <v>2.3551776777692306E-2</v>
      </c>
      <c r="N492">
        <f>0.0713690205384615*(0.3)</f>
        <v>2.1410706161538458E-2</v>
      </c>
    </row>
    <row r="493" spans="1:14" x14ac:dyDescent="0.25">
      <c r="A493">
        <f>-69.32656236*(0.3)</f>
        <v>-20.797968707999999</v>
      </c>
      <c r="B493">
        <f>5.33281248923077*(0.3)</f>
        <v>1.5998437467692308</v>
      </c>
      <c r="C493">
        <f>15.9984374676923*(0.3)</f>
        <v>4.7995312403076928</v>
      </c>
      <c r="D493">
        <f>5.33281248923077*(0.3)</f>
        <v>1.5998437467692308</v>
      </c>
      <c r="E493">
        <f>5.33281248923077*(0.3)</f>
        <v>1.5998437467692308</v>
      </c>
      <c r="F493">
        <f>5.33281248923077*(0.3)</f>
        <v>1.5998437467692308</v>
      </c>
      <c r="G493">
        <f>3.19968749353846*(0.3)</f>
        <v>0.95990624806153846</v>
      </c>
      <c r="H493">
        <f>5.33281248923077*(0.3)</f>
        <v>1.5998437467692308</v>
      </c>
      <c r="I493">
        <f>5.33281248923077*(0.3)</f>
        <v>1.5998437467692308</v>
      </c>
      <c r="J493">
        <f>-1.06656249784615*(0.3)</f>
        <v>-0.31996874935384606</v>
      </c>
      <c r="K493">
        <f>5.33281248923077*(0.3)</f>
        <v>1.5998437467692308</v>
      </c>
      <c r="L493">
        <f>2.61307811972308*(0.3)</f>
        <v>0.78392343591692304</v>
      </c>
      <c r="M493">
        <f>5.86609373815385*(0.3)</f>
        <v>1.759828121446154</v>
      </c>
      <c r="N493">
        <f>5.33281248923077*(0.3)</f>
        <v>1.5998437467692308</v>
      </c>
    </row>
    <row r="494" spans="1:14" x14ac:dyDescent="0.25">
      <c r="A494">
        <f>0.244457934*(0.3)</f>
        <v>7.3337380199999996E-2</v>
      </c>
      <c r="B494">
        <f>-0.0188044564615385*(0.3)</f>
        <v>-5.6413369384615379E-3</v>
      </c>
      <c r="C494">
        <f>-0.0564133693846154*(0.3)</f>
        <v>-1.6924010815384614E-2</v>
      </c>
      <c r="D494">
        <f>-0.0188044564615385*(0.3)</f>
        <v>-5.6413369384615379E-3</v>
      </c>
      <c r="E494">
        <f>-0.0188044564615385*(0.3)</f>
        <v>-5.6413369384615379E-3</v>
      </c>
      <c r="F494">
        <f>-0.0188044564615385*(0.3)</f>
        <v>-5.6413369384615379E-3</v>
      </c>
      <c r="G494">
        <f>-0.0112826738769231*(0.3)</f>
        <v>-3.3848021630769227E-3</v>
      </c>
      <c r="H494">
        <f>-0.0188044564615385*(0.3)</f>
        <v>-5.6413369384615379E-3</v>
      </c>
      <c r="I494">
        <f>-0.0188044564615385*(0.3)</f>
        <v>-5.6413369384615379E-3</v>
      </c>
      <c r="J494">
        <f>0.00376089129230769*(0.3)</f>
        <v>1.1282673876923074E-3</v>
      </c>
      <c r="K494">
        <f>-0.0188044564615385*(0.3)</f>
        <v>-5.6413369384615379E-3</v>
      </c>
      <c r="L494">
        <f>-0.00921418366615385*(0.3)</f>
        <v>-2.7642550998461537E-3</v>
      </c>
      <c r="M494">
        <f>-0.0206849021076923*(0.3)</f>
        <v>-6.2054706323076926E-3</v>
      </c>
      <c r="N494">
        <f>-0.0188044564615385*(0.3)</f>
        <v>-5.6413369384615379E-3</v>
      </c>
    </row>
    <row r="495" spans="1:14" x14ac:dyDescent="0.25">
      <c r="A495">
        <f>-81.68389561*(0.3)</f>
        <v>-24.505168682999997</v>
      </c>
      <c r="B495">
        <f>6.28337658538462*(0.3)</f>
        <v>1.8850129756153844</v>
      </c>
      <c r="C495">
        <f>18.8501297561538*(0.3)</f>
        <v>5.6550389268461529</v>
      </c>
      <c r="D495">
        <f>6.28337658538462*(0.3)</f>
        <v>1.8850129756153844</v>
      </c>
      <c r="E495">
        <f>6.28337658538462*(0.3)</f>
        <v>1.8850129756153844</v>
      </c>
      <c r="F495">
        <f>6.28337658538462*(0.3)</f>
        <v>1.8850129756153844</v>
      </c>
      <c r="G495">
        <f>3.77002595123077*(0.3)</f>
        <v>1.1310077853692306</v>
      </c>
      <c r="H495">
        <f>6.28337658538462*(0.3)</f>
        <v>1.8850129756153844</v>
      </c>
      <c r="I495">
        <f>6.28337658538462*(0.3)</f>
        <v>1.8850129756153844</v>
      </c>
      <c r="J495">
        <f>-1.25667531707692*(0.3)</f>
        <v>-0.37700259512307682</v>
      </c>
      <c r="K495">
        <f>6.28337658538462*(0.3)</f>
        <v>1.8850129756153844</v>
      </c>
      <c r="L495">
        <f>3.07885452683846*(0.3)</f>
        <v>0.92365635805153845</v>
      </c>
      <c r="M495">
        <f>6.91171424392308*(0.3)</f>
        <v>2.0735142731769232</v>
      </c>
      <c r="N495">
        <f>6.28337658538462*(0.3)</f>
        <v>1.8850129756153844</v>
      </c>
    </row>
    <row r="496" spans="1:14" x14ac:dyDescent="0.25">
      <c r="A496">
        <f>0.546133319*(0.3)</f>
        <v>0.16383999569999999</v>
      </c>
      <c r="B496">
        <f>-0.0420102553076923*(0.3)</f>
        <v>-1.2603076592307692E-2</v>
      </c>
      <c r="C496">
        <f>-0.126030765923077*(0.3)</f>
        <v>-3.7809229776923074E-2</v>
      </c>
      <c r="D496">
        <f>-0.0420102553076923*(0.3)</f>
        <v>-1.2603076592307692E-2</v>
      </c>
      <c r="E496">
        <f>-0.0420102553076923*(0.3)</f>
        <v>-1.2603076592307692E-2</v>
      </c>
      <c r="F496">
        <f>-0.0420102553076923*(0.3)</f>
        <v>-1.2603076592307692E-2</v>
      </c>
      <c r="G496">
        <f>-0.0252061531846154*(0.3)</f>
        <v>-7.5618459553846145E-3</v>
      </c>
      <c r="H496">
        <f>-0.0420102553076923*(0.3)</f>
        <v>-1.2603076592307692E-2</v>
      </c>
      <c r="I496">
        <f>-0.0420102553076923*(0.3)</f>
        <v>-1.2603076592307692E-2</v>
      </c>
      <c r="J496">
        <f>0.00840205106153846*(0.3)</f>
        <v>2.5206153184615374E-3</v>
      </c>
      <c r="K496">
        <f>-0.0420102553076923*(0.3)</f>
        <v>-1.2603076592307692E-2</v>
      </c>
      <c r="L496">
        <f>-0.0205850251007692*(0.3)</f>
        <v>-6.1755075302307684E-3</v>
      </c>
      <c r="M496">
        <f>-0.0462112808384615*(0.3)</f>
        <v>-1.3863384251538461E-2</v>
      </c>
      <c r="N496">
        <f>-0.0420102553076923*(0.3)</f>
        <v>-1.2603076592307692E-2</v>
      </c>
    </row>
    <row r="497" spans="1:14" x14ac:dyDescent="0.25">
      <c r="A497">
        <f>-5.079863858*(0.3)</f>
        <v>-1.5239591574</v>
      </c>
      <c r="B497">
        <f>0.390758758307692*(0.3)</f>
        <v>0.1172276274923077</v>
      </c>
      <c r="C497">
        <f>1.17227627492308*(0.3)</f>
        <v>0.35168288247692309</v>
      </c>
      <c r="D497">
        <f>0.390758758307692*(0.3)</f>
        <v>0.1172276274923077</v>
      </c>
      <c r="E497">
        <f>0.390758758307692*(0.3)</f>
        <v>0.1172276274923077</v>
      </c>
      <c r="F497">
        <f>0.390758758307692*(0.3)</f>
        <v>0.1172276274923077</v>
      </c>
      <c r="G497">
        <f>0.234455254984615*(0.3)</f>
        <v>7.033657649538462E-2</v>
      </c>
      <c r="H497">
        <f>0.390758758307692*(0.3)</f>
        <v>0.1172276274923077</v>
      </c>
      <c r="I497">
        <f>0.390758758307692*(0.3)</f>
        <v>0.1172276274923077</v>
      </c>
      <c r="J497">
        <f>-0.0781517516615385*(0.3)</f>
        <v>-2.3445525498461534E-2</v>
      </c>
      <c r="K497">
        <f>0.390758758307692*(0.3)</f>
        <v>0.1172276274923077</v>
      </c>
      <c r="L497">
        <f>0.191471791570769*(0.3)</f>
        <v>5.7441537471230771E-2</v>
      </c>
      <c r="M497">
        <f>0.429834634138462*(0.3)</f>
        <v>0.12895039024153848</v>
      </c>
      <c r="N497">
        <f>0.390758758307692*(0.3)</f>
        <v>0.1172276274923077</v>
      </c>
    </row>
    <row r="498" spans="1:14" x14ac:dyDescent="0.25">
      <c r="A498">
        <f>1.001985939*(0.3)</f>
        <v>0.30059578170000001</v>
      </c>
      <c r="B498">
        <f>-0.0770758414615385*(0.3)</f>
        <v>-2.3122752438461538E-2</v>
      </c>
      <c r="C498">
        <f>-0.231227524384615*(0.3)</f>
        <v>-6.9368257315384624E-2</v>
      </c>
      <c r="D498">
        <f>-0.0770758414615385*(0.3)</f>
        <v>-2.3122752438461538E-2</v>
      </c>
      <c r="E498">
        <f>-0.0770758414615385*(0.3)</f>
        <v>-2.3122752438461538E-2</v>
      </c>
      <c r="F498">
        <f>-0.0770758414615385*(0.3)</f>
        <v>-2.3122752438461538E-2</v>
      </c>
      <c r="G498">
        <f>-0.0462455048769231*(0.3)</f>
        <v>-1.3873651463076923E-2</v>
      </c>
      <c r="H498">
        <f>-0.0770758414615385*(0.3)</f>
        <v>-2.3122752438461538E-2</v>
      </c>
      <c r="I498">
        <f>-0.0770758414615385*(0.3)</f>
        <v>-2.3122752438461538E-2</v>
      </c>
      <c r="J498">
        <f>0.0154151682923077*(0.3)</f>
        <v>4.6245504876923065E-3</v>
      </c>
      <c r="K498">
        <f>-0.0770758414615385*(0.3)</f>
        <v>-2.3122752438461538E-2</v>
      </c>
      <c r="L498">
        <f>-0.0377671623161538*(0.3)</f>
        <v>-1.1330148694846153E-2</v>
      </c>
      <c r="M498">
        <f>-0.0847834256076923*(0.3)</f>
        <v>-2.5435027682307695E-2</v>
      </c>
      <c r="N498">
        <f>-0.0770758414615385*(0.3)</f>
        <v>-2.3122752438461538E-2</v>
      </c>
    </row>
    <row r="499" spans="1:14" x14ac:dyDescent="0.25">
      <c r="A499">
        <f>-6.478109891*(0.3)</f>
        <v>-1.9434329672999999</v>
      </c>
      <c r="B499">
        <f>0.498316145461538*(0.3)</f>
        <v>0.14949484363846152</v>
      </c>
      <c r="C499">
        <f>1.49494843638462*(0.3)</f>
        <v>0.44848453091538465</v>
      </c>
      <c r="D499">
        <f>0.498316145461538*(0.3)</f>
        <v>0.14949484363846152</v>
      </c>
      <c r="E499">
        <f>0.498316145461538*(0.3)</f>
        <v>0.14949484363846152</v>
      </c>
      <c r="F499">
        <f>0.498316145461538*(0.3)</f>
        <v>0.14949484363846152</v>
      </c>
      <c r="G499">
        <f>0.298989687276923*(0.3)</f>
        <v>8.9696906183076908E-2</v>
      </c>
      <c r="H499">
        <f>0.498316145461538*(0.3)</f>
        <v>0.14949484363846152</v>
      </c>
      <c r="I499">
        <f>0.498316145461538*(0.3)</f>
        <v>0.14949484363846152</v>
      </c>
      <c r="J499">
        <f>-0.0996632290923077*(0.3)</f>
        <v>-2.98989687276923E-2</v>
      </c>
      <c r="K499">
        <f>0.498316145461538*(0.3)</f>
        <v>0.14949484363846152</v>
      </c>
      <c r="L499">
        <f>0.244174911276154*(0.3)</f>
        <v>7.3252473382846156E-2</v>
      </c>
      <c r="M499">
        <f>0.548147760007692*(0.3)</f>
        <v>0.16444432800230771</v>
      </c>
      <c r="N499">
        <f>0.498316145461538*(0.3)</f>
        <v>0.14949484363846152</v>
      </c>
    </row>
    <row r="500" spans="1:14" x14ac:dyDescent="0.25">
      <c r="A500">
        <f>-0.859224191*(0.3)</f>
        <v>-0.2577672573</v>
      </c>
      <c r="B500">
        <f>0.0660941685384615*(0.3)</f>
        <v>1.982825056153846E-2</v>
      </c>
      <c r="C500">
        <f>0.198282505615385*(0.3)</f>
        <v>5.9484751684615381E-2</v>
      </c>
      <c r="D500">
        <f>0.0660941685384615*(0.3)</f>
        <v>1.982825056153846E-2</v>
      </c>
      <c r="E500">
        <f>0.0660941685384615*(0.3)</f>
        <v>1.982825056153846E-2</v>
      </c>
      <c r="F500">
        <f>0.0660941685384615*(0.3)</f>
        <v>1.982825056153846E-2</v>
      </c>
      <c r="G500">
        <f>0.0396565011230769*(0.3)</f>
        <v>1.1896950336923076E-2</v>
      </c>
      <c r="H500">
        <f>0.0660941685384615*(0.3)</f>
        <v>1.982825056153846E-2</v>
      </c>
      <c r="I500">
        <f>0.0660941685384615*(0.3)</f>
        <v>1.982825056153846E-2</v>
      </c>
      <c r="J500">
        <f>-0.0132188337076923*(0.3)</f>
        <v>-3.9656501123076912E-3</v>
      </c>
      <c r="K500">
        <f>0.0660941685384615*(0.3)</f>
        <v>1.982825056153846E-2</v>
      </c>
      <c r="L500">
        <f>0.0323861425838462*(0.3)</f>
        <v>9.7158427751538445E-3</v>
      </c>
      <c r="M500">
        <f>0.0727035853923077*(0.3)</f>
        <v>2.1811075617692306E-2</v>
      </c>
      <c r="N500">
        <f>0.0660941685384615*(0.3)</f>
        <v>1.982825056153846E-2</v>
      </c>
    </row>
    <row r="501" spans="1:14" x14ac:dyDescent="0.25">
      <c r="A501">
        <f>-7.306433132*(0.3)</f>
        <v>-2.1919299396</v>
      </c>
      <c r="B501">
        <f>0.562033317846154*(0.3)</f>
        <v>0.16860999535384616</v>
      </c>
      <c r="C501">
        <f>1.68609995353846*(0.3)</f>
        <v>0.50582998606153839</v>
      </c>
      <c r="D501">
        <f>0.562033317846154*(0.3)</f>
        <v>0.16860999535384616</v>
      </c>
      <c r="E501">
        <f>0.562033317846154*(0.3)</f>
        <v>0.16860999535384616</v>
      </c>
      <c r="F501">
        <f>0.562033317846154*(0.3)</f>
        <v>0.16860999535384616</v>
      </c>
      <c r="G501">
        <f>0.337219990707692*(0.3)</f>
        <v>0.10116599721230769</v>
      </c>
      <c r="H501">
        <f>0.562033317846154*(0.3)</f>
        <v>0.16860999535384616</v>
      </c>
      <c r="I501">
        <f>0.562033317846154*(0.3)</f>
        <v>0.16860999535384616</v>
      </c>
      <c r="J501">
        <f>-0.112406663569231*(0.3)</f>
        <v>-3.3721999070769226E-2</v>
      </c>
      <c r="K501">
        <f>0.562033317846154*(0.3)</f>
        <v>0.16860999535384616</v>
      </c>
      <c r="L501">
        <f>0.275396325744615*(0.3)</f>
        <v>8.2618897723384613E-2</v>
      </c>
      <c r="M501">
        <f>0.618236649630769*(0.3)</f>
        <v>0.18547099488923077</v>
      </c>
      <c r="N501">
        <f>0.562033317846154*(0.3)</f>
        <v>0.16860999535384616</v>
      </c>
    </row>
    <row r="502" spans="1:14" x14ac:dyDescent="0.25">
      <c r="A502">
        <f>-1.957374034*(0.3)</f>
        <v>-0.58721221020000003</v>
      </c>
      <c r="B502">
        <f>0.150567233384615*(0.3)</f>
        <v>4.5170170015384613E-2</v>
      </c>
      <c r="C502">
        <f>0.451701700153846*(0.3)</f>
        <v>0.13551051004615383</v>
      </c>
      <c r="D502">
        <f>0.150567233384615*(0.3)</f>
        <v>4.5170170015384613E-2</v>
      </c>
      <c r="E502">
        <f>0.150567233384615*(0.3)</f>
        <v>4.5170170015384613E-2</v>
      </c>
      <c r="F502">
        <f>0.150567233384615*(0.3)</f>
        <v>4.5170170015384613E-2</v>
      </c>
      <c r="G502">
        <f>0.0903403400307692*(0.3)</f>
        <v>2.7102102009230768E-2</v>
      </c>
      <c r="H502">
        <f>0.150567233384615*(0.3)</f>
        <v>4.5170170015384613E-2</v>
      </c>
      <c r="I502">
        <f>0.150567233384615*(0.3)</f>
        <v>4.5170170015384613E-2</v>
      </c>
      <c r="J502">
        <f>-0.0301134466769231*(0.3)</f>
        <v>-9.0340340030769205E-3</v>
      </c>
      <c r="K502">
        <f>0.150567233384615*(0.3)</f>
        <v>4.5170170015384613E-2</v>
      </c>
      <c r="L502">
        <f>0.0737779443584615*(0.3)</f>
        <v>2.213338330753846E-2</v>
      </c>
      <c r="M502">
        <f>0.165623956723077*(0.3)</f>
        <v>4.9687187016923082E-2</v>
      </c>
      <c r="N502">
        <f>0.150567233384615*(0.3)</f>
        <v>4.5170170015384613E-2</v>
      </c>
    </row>
    <row r="503" spans="1:14" x14ac:dyDescent="0.25">
      <c r="A503">
        <f>-14.45919418*(0.3)</f>
        <v>-4.3377582539999997</v>
      </c>
      <c r="B503">
        <f>1.11224570615385*(0.3)</f>
        <v>0.33367371184615385</v>
      </c>
      <c r="C503">
        <f>3.33673711846154*(0.3)</f>
        <v>1.0010211355384615</v>
      </c>
      <c r="D503">
        <f>1.11224570615385*(0.3)</f>
        <v>0.33367371184615385</v>
      </c>
      <c r="E503">
        <f>1.11224570615385*(0.3)</f>
        <v>0.33367371184615385</v>
      </c>
      <c r="F503">
        <f>1.11224570615385*(0.3)</f>
        <v>0.33367371184615385</v>
      </c>
      <c r="G503">
        <f>0.667347423692308*(0.3)</f>
        <v>0.20020422710769231</v>
      </c>
      <c r="H503">
        <f>1.11224570615385*(0.3)</f>
        <v>0.33367371184615385</v>
      </c>
      <c r="I503">
        <f>1.11224570615385*(0.3)</f>
        <v>0.33367371184615385</v>
      </c>
      <c r="J503">
        <f>-0.222449141230769*(0.3)</f>
        <v>-6.6734742369230757E-2</v>
      </c>
      <c r="K503">
        <f>1.11224570615385*(0.3)</f>
        <v>0.33367371184615385</v>
      </c>
      <c r="L503">
        <f>0.545000396015385*(0.3)</f>
        <v>0.16350011880461537</v>
      </c>
      <c r="M503">
        <f>1.22347027676923*(0.3)</f>
        <v>0.36704108303076927</v>
      </c>
      <c r="N503">
        <f>1.11224570615385*(0.3)</f>
        <v>0.33367371184615385</v>
      </c>
    </row>
    <row r="504" spans="1:14" x14ac:dyDescent="0.25">
      <c r="A504">
        <f>1.01668444*(0.3)</f>
        <v>0.30500533199999996</v>
      </c>
      <c r="B504">
        <f>-0.0782064953846154*(0.3)</f>
        <v>-2.3461948615384615E-2</v>
      </c>
      <c r="C504">
        <f>-0.234619486153846*(0.3)</f>
        <v>-7.0385845846153844E-2</v>
      </c>
      <c r="D504">
        <f>-0.0782064953846154*(0.3)</f>
        <v>-2.3461948615384615E-2</v>
      </c>
      <c r="E504">
        <f>-0.0782064953846154*(0.3)</f>
        <v>-2.3461948615384615E-2</v>
      </c>
      <c r="F504">
        <f>-0.0782064953846154*(0.3)</f>
        <v>-2.3461948615384615E-2</v>
      </c>
      <c r="G504">
        <f>-0.0469238972307692*(0.3)</f>
        <v>-1.4077169169230769E-2</v>
      </c>
      <c r="H504">
        <f>-0.0782064953846154*(0.3)</f>
        <v>-2.3461948615384615E-2</v>
      </c>
      <c r="I504">
        <f>-0.0782064953846154*(0.3)</f>
        <v>-2.3461948615384615E-2</v>
      </c>
      <c r="J504">
        <f>0.0156412990769231*(0.3)</f>
        <v>4.6923897230769221E-3</v>
      </c>
      <c r="K504">
        <f>-0.0782064953846154*(0.3)</f>
        <v>-2.3461948615384615E-2</v>
      </c>
      <c r="L504">
        <f>-0.0383211827384615*(0.3)</f>
        <v>-1.1496354821538461E-2</v>
      </c>
      <c r="M504">
        <f>-0.0860271449230769*(0.3)</f>
        <v>-2.580814347692308E-2</v>
      </c>
      <c r="N504">
        <f>-0.0782064953846154*(0.3)</f>
        <v>-2.3461948615384615E-2</v>
      </c>
    </row>
    <row r="505" spans="1:14" x14ac:dyDescent="0.25">
      <c r="A505">
        <f>-13.85686918*(0.3)</f>
        <v>-4.1570607539999997</v>
      </c>
      <c r="B505">
        <f>1.06591301384615*(0.3)</f>
        <v>0.31977390415384616</v>
      </c>
      <c r="C505">
        <f>3.19773904153846*(0.3)</f>
        <v>0.95932171246153852</v>
      </c>
      <c r="D505">
        <f>1.06591301384615*(0.3)</f>
        <v>0.31977390415384616</v>
      </c>
      <c r="E505">
        <f>1.06591301384615*(0.3)</f>
        <v>0.31977390415384616</v>
      </c>
      <c r="F505">
        <f>1.06591301384615*(0.3)</f>
        <v>0.31977390415384616</v>
      </c>
      <c r="G505">
        <f>0.639547808307692*(0.3)</f>
        <v>0.19186434249230769</v>
      </c>
      <c r="H505">
        <f>1.06591301384615*(0.3)</f>
        <v>0.31977390415384616</v>
      </c>
      <c r="I505">
        <f>1.06591301384615*(0.3)</f>
        <v>0.31977390415384616</v>
      </c>
      <c r="J505">
        <f>-0.213182602769231*(0.3)</f>
        <v>-6.395478083076922E-2</v>
      </c>
      <c r="K505">
        <f>1.06591301384615*(0.3)</f>
        <v>0.31977390415384616</v>
      </c>
      <c r="L505">
        <f>0.522297376784615*(0.3)</f>
        <v>0.15668921303538461</v>
      </c>
      <c r="M505">
        <f>1.17250431523077*(0.3)</f>
        <v>0.35175129456923082</v>
      </c>
      <c r="N505">
        <f>1.06591301384615*(0.3)</f>
        <v>0.31977390415384616</v>
      </c>
    </row>
    <row r="506" spans="1:14" x14ac:dyDescent="0.25">
      <c r="A506">
        <f>-0.443047602*(0.3)</f>
        <v>-0.13291428059999999</v>
      </c>
      <c r="B506">
        <f>0.0340805847692308*(0.3)</f>
        <v>1.022417543076923E-2</v>
      </c>
      <c r="C506">
        <f>0.102241754307692*(0.3)</f>
        <v>3.0672526292307691E-2</v>
      </c>
      <c r="D506">
        <f>0.0340805847692308*(0.3)</f>
        <v>1.022417543076923E-2</v>
      </c>
      <c r="E506">
        <f>0.0340805847692308*(0.3)</f>
        <v>1.022417543076923E-2</v>
      </c>
      <c r="F506">
        <f>0.0340805847692308*(0.3)</f>
        <v>1.022417543076923E-2</v>
      </c>
      <c r="G506">
        <f>0.0204483508615385*(0.3)</f>
        <v>6.1345052584615379E-3</v>
      </c>
      <c r="H506">
        <f>0.0340805847692308*(0.3)</f>
        <v>1.022417543076923E-2</v>
      </c>
      <c r="I506">
        <f>0.0340805847692308*(0.3)</f>
        <v>1.022417543076923E-2</v>
      </c>
      <c r="J506">
        <f>-0.00681611695384615*(0.3)</f>
        <v>-2.0448350861538454E-3</v>
      </c>
      <c r="K506">
        <f>0.0340805847692308*(0.3)</f>
        <v>1.022417543076923E-2</v>
      </c>
      <c r="L506">
        <f>0.0166994865369231*(0.3)</f>
        <v>5.0098459610769227E-3</v>
      </c>
      <c r="M506">
        <f>0.0374886432461538*(0.3)</f>
        <v>1.1246592973846154E-2</v>
      </c>
      <c r="N506">
        <f>0.0340805847692308*(0.3)</f>
        <v>1.022417543076923E-2</v>
      </c>
    </row>
    <row r="507" spans="1:14" x14ac:dyDescent="0.25">
      <c r="A507">
        <f>-18.46769107*(0.3)</f>
        <v>-5.5403073210000002</v>
      </c>
      <c r="B507">
        <f>1.42059162076923*(0.3)</f>
        <v>0.42617748623076923</v>
      </c>
      <c r="C507">
        <f>4.26177486230769*(0.3)</f>
        <v>1.2785324586923077</v>
      </c>
      <c r="D507">
        <f>1.42059162076923*(0.3)</f>
        <v>0.42617748623076923</v>
      </c>
      <c r="E507">
        <f>1.42059162076923*(0.3)</f>
        <v>0.42617748623076923</v>
      </c>
      <c r="F507">
        <f>1.42059162076923*(0.3)</f>
        <v>0.42617748623076923</v>
      </c>
      <c r="G507">
        <f>0.852354972461538*(0.3)</f>
        <v>0.25570649173846155</v>
      </c>
      <c r="H507">
        <f>1.42059162076923*(0.3)</f>
        <v>0.42617748623076923</v>
      </c>
      <c r="I507">
        <f>1.42059162076923*(0.3)</f>
        <v>0.42617748623076923</v>
      </c>
      <c r="J507">
        <f>-0.284118324153846*(0.3)</f>
        <v>-8.5235497246153827E-2</v>
      </c>
      <c r="K507">
        <f>1.42059162076923*(0.3)</f>
        <v>0.42617748623076923</v>
      </c>
      <c r="L507">
        <f>0.696089894176923*(0.3)</f>
        <v>0.20882696825307692</v>
      </c>
      <c r="M507">
        <f>1.56265078284615*(0.3)</f>
        <v>0.46879523485384617</v>
      </c>
      <c r="N507">
        <f>1.42059162076923*(0.3)</f>
        <v>0.42617748623076923</v>
      </c>
    </row>
    <row r="508" spans="1:14" x14ac:dyDescent="0.25">
      <c r="A508">
        <f>-0.840472597*(0.3)</f>
        <v>-0.25214177909999996</v>
      </c>
      <c r="B508">
        <f>0.0646517382307692*(0.3)</f>
        <v>1.9395521469230768E-2</v>
      </c>
      <c r="C508">
        <f>0.193955214692308*(0.3)</f>
        <v>5.81865644076923E-2</v>
      </c>
      <c r="D508">
        <f>0.0646517382307692*(0.3)</f>
        <v>1.9395521469230768E-2</v>
      </c>
      <c r="E508">
        <f>0.0646517382307692*(0.3)</f>
        <v>1.9395521469230768E-2</v>
      </c>
      <c r="F508">
        <f>0.0646517382307692*(0.3)</f>
        <v>1.9395521469230768E-2</v>
      </c>
      <c r="G508">
        <f>0.0387910429384615*(0.3)</f>
        <v>1.1637312881538461E-2</v>
      </c>
      <c r="H508">
        <f>0.0646517382307692*(0.3)</f>
        <v>1.9395521469230768E-2</v>
      </c>
      <c r="I508">
        <f>0.0646517382307692*(0.3)</f>
        <v>1.9395521469230768E-2</v>
      </c>
      <c r="J508">
        <f>-0.0129303476461538*(0.3)</f>
        <v>-3.8791042938461527E-3</v>
      </c>
      <c r="K508">
        <f>0.0646517382307692*(0.3)</f>
        <v>1.9395521469230768E-2</v>
      </c>
      <c r="L508">
        <f>0.0316793517330769*(0.3)</f>
        <v>9.5038055199230757E-3</v>
      </c>
      <c r="M508">
        <f>0.0711169120538462*(0.3)</f>
        <v>2.1335073616153846E-2</v>
      </c>
      <c r="N508">
        <f>0.0646517382307692*(0.3)</f>
        <v>1.9395521469230768E-2</v>
      </c>
    </row>
    <row r="509" spans="1:14" x14ac:dyDescent="0.25">
      <c r="A509">
        <f>-19.63430496*(0.3)</f>
        <v>-5.8902914879999999</v>
      </c>
      <c r="B509">
        <f>1.51033115076923*(0.3)</f>
        <v>0.45309934523076928</v>
      </c>
      <c r="C509">
        <f>4.53099345230769*(0.3)</f>
        <v>1.3592980356923079</v>
      </c>
      <c r="D509">
        <f>1.51033115076923*(0.3)</f>
        <v>0.45309934523076928</v>
      </c>
      <c r="E509">
        <f>1.51033115076923*(0.3)</f>
        <v>0.45309934523076928</v>
      </c>
      <c r="F509">
        <f>1.51033115076923*(0.3)</f>
        <v>0.45309934523076928</v>
      </c>
      <c r="G509">
        <f>0.906198690461539*(0.3)</f>
        <v>0.27185960713846158</v>
      </c>
      <c r="H509">
        <f>1.51033115076923*(0.3)</f>
        <v>0.45309934523076928</v>
      </c>
      <c r="I509">
        <f>1.51033115076923*(0.3)</f>
        <v>0.45309934523076928</v>
      </c>
      <c r="J509">
        <f>-0.302066230153846*(0.3)</f>
        <v>-9.0619869046153836E-2</v>
      </c>
      <c r="K509">
        <f>1.51033115076923*(0.3)</f>
        <v>0.45309934523076928</v>
      </c>
      <c r="L509">
        <f>0.740062263876923*(0.3)</f>
        <v>0.22201867916307697</v>
      </c>
      <c r="M509">
        <f>1.66136426584615*(0.3)</f>
        <v>0.49840927975384625</v>
      </c>
      <c r="N509">
        <f>1.51033115076923*(0.3)</f>
        <v>0.45309934523076928</v>
      </c>
    </row>
    <row r="510" spans="1:14" x14ac:dyDescent="0.25">
      <c r="A510">
        <f>-2.680202542*(0.3)</f>
        <v>-0.80406076259999992</v>
      </c>
      <c r="B510">
        <f>0.206169426307692*(0.3)</f>
        <v>6.185082789230769E-2</v>
      </c>
      <c r="C510">
        <f>0.618508278923077*(0.3)</f>
        <v>0.18555248367692306</v>
      </c>
      <c r="D510">
        <f>0.206169426307692*(0.3)</f>
        <v>6.185082789230769E-2</v>
      </c>
      <c r="E510">
        <f>0.206169426307692*(0.3)</f>
        <v>6.185082789230769E-2</v>
      </c>
      <c r="F510">
        <f>0.206169426307692*(0.3)</f>
        <v>6.185082789230769E-2</v>
      </c>
      <c r="G510">
        <f>0.123701655784615*(0.3)</f>
        <v>3.7110496735384614E-2</v>
      </c>
      <c r="H510">
        <f>0.206169426307692*(0.3)</f>
        <v>6.185082789230769E-2</v>
      </c>
      <c r="I510">
        <f>0.206169426307692*(0.3)</f>
        <v>6.185082789230769E-2</v>
      </c>
      <c r="J510">
        <f>-0.0412338852615384*(0.3)</f>
        <v>-1.2370165578461535E-2</v>
      </c>
      <c r="K510">
        <f>0.206169426307692*(0.3)</f>
        <v>6.185082789230769E-2</v>
      </c>
      <c r="L510">
        <f>0.101023018890769*(0.3)</f>
        <v>3.0306905667230766E-2</v>
      </c>
      <c r="M510">
        <f>0.226786368938462*(0.3)</f>
        <v>6.8035910681538456E-2</v>
      </c>
      <c r="N510">
        <f>0.206169426307692*(0.3)</f>
        <v>6.185082789230769E-2</v>
      </c>
    </row>
    <row r="511" spans="1:14" x14ac:dyDescent="0.25">
      <c r="A511">
        <f>-22.46855895*(0.3)</f>
        <v>-6.7405676849999994</v>
      </c>
      <c r="B511">
        <f>1.72835068846154*(0.3)</f>
        <v>0.51850520653846144</v>
      </c>
      <c r="C511">
        <f>5.18505206538461*(0.3)</f>
        <v>1.5555156196153843</v>
      </c>
      <c r="D511">
        <f>1.72835068846154*(0.3)</f>
        <v>0.51850520653846144</v>
      </c>
      <c r="E511">
        <f>1.72835068846154*(0.3)</f>
        <v>0.51850520653846144</v>
      </c>
      <c r="F511">
        <f>1.72835068846154*(0.3)</f>
        <v>0.51850520653846144</v>
      </c>
      <c r="G511">
        <f>1.03701041307692*(0.3)</f>
        <v>0.31110312392307687</v>
      </c>
      <c r="H511">
        <f>1.72835068846154*(0.3)</f>
        <v>0.51850520653846144</v>
      </c>
      <c r="I511">
        <f>1.72835068846154*(0.3)</f>
        <v>0.51850520653846144</v>
      </c>
      <c r="J511">
        <f>-0.345670137692308*(0.3)</f>
        <v>-0.10370104130769227</v>
      </c>
      <c r="K511">
        <f>1.72835068846154*(0.3)</f>
        <v>0.51850520653846144</v>
      </c>
      <c r="L511">
        <f>0.846891837346154*(0.3)</f>
        <v>0.25406755120384611</v>
      </c>
      <c r="M511">
        <f>1.90118575730769*(0.3)</f>
        <v>0.57035572719230765</v>
      </c>
      <c r="N511">
        <f>1.72835068846154*(0.3)</f>
        <v>0.51850520653846144</v>
      </c>
    </row>
    <row r="512" spans="1:14" x14ac:dyDescent="0.25">
      <c r="A512">
        <f>2.119263761*(0.3)</f>
        <v>0.63577912829999994</v>
      </c>
      <c r="B512">
        <f>-0.163020289307692*(0.3)</f>
        <v>-4.8906086792307686E-2</v>
      </c>
      <c r="C512">
        <f>-0.489060867923077*(0.3)</f>
        <v>-0.14671826037692307</v>
      </c>
      <c r="D512">
        <f>-0.163020289307692*(0.3)</f>
        <v>-4.8906086792307686E-2</v>
      </c>
      <c r="E512">
        <f>-0.163020289307692*(0.3)</f>
        <v>-4.8906086792307686E-2</v>
      </c>
      <c r="F512">
        <f>-0.163020289307692*(0.3)</f>
        <v>-4.8906086792307686E-2</v>
      </c>
      <c r="G512">
        <f>-0.0978121735846154*(0.3)</f>
        <v>-2.934365207538461E-2</v>
      </c>
      <c r="H512">
        <f>-0.163020289307692*(0.3)</f>
        <v>-4.8906086792307686E-2</v>
      </c>
      <c r="I512">
        <f>-0.163020289307692*(0.3)</f>
        <v>-4.8906086792307686E-2</v>
      </c>
      <c r="J512">
        <f>0.0326040578615385*(0.3)</f>
        <v>9.7812173584615348E-3</v>
      </c>
      <c r="K512">
        <f>-0.163020289307692*(0.3)</f>
        <v>-4.8906086792307686E-2</v>
      </c>
      <c r="L512">
        <f>-0.0798799417607692*(0.3)</f>
        <v>-2.3963982528230766E-2</v>
      </c>
      <c r="M512">
        <f>-0.179322318238462*(0.3)</f>
        <v>-5.379669547153846E-2</v>
      </c>
      <c r="N512">
        <f>-0.163020289307692*(0.3)</f>
        <v>-4.8906086792307686E-2</v>
      </c>
    </row>
    <row r="513" spans="1:14" x14ac:dyDescent="0.25">
      <c r="A513">
        <f>-0.299986271*(0.3)</f>
        <v>-8.9995881300000011E-2</v>
      </c>
      <c r="B513">
        <f>0.023075867*(0.3)</f>
        <v>6.9227601000000005E-3</v>
      </c>
      <c r="C513">
        <f>0.069227601*(0.3)</f>
        <v>2.0768280300000004E-2</v>
      </c>
      <c r="D513">
        <f>0.023075867*(0.3)</f>
        <v>6.9227601000000005E-3</v>
      </c>
      <c r="E513">
        <f>0.023075867*(0.3)</f>
        <v>6.9227601000000005E-3</v>
      </c>
      <c r="F513">
        <f>0.023075867*(0.3)</f>
        <v>6.9227601000000005E-3</v>
      </c>
      <c r="G513">
        <f>0.0138455202*(0.3)</f>
        <v>4.1536560600000001E-3</v>
      </c>
      <c r="H513">
        <f>0.023075867*(0.3)</f>
        <v>6.9227601000000005E-3</v>
      </c>
      <c r="I513">
        <f>0.023075867*(0.3)</f>
        <v>6.9227601000000005E-3</v>
      </c>
      <c r="J513">
        <f>-0.0046151734*(0.3)</f>
        <v>-1.3845520199999998E-3</v>
      </c>
      <c r="K513">
        <f>0.023075867*(0.3)</f>
        <v>6.9227601000000005E-3</v>
      </c>
      <c r="L513">
        <f>0.01130717483*(0.3)</f>
        <v>3.3921524490000002E-3</v>
      </c>
      <c r="M513">
        <f>0.0253834537*(0.3)</f>
        <v>7.6150361100000017E-3</v>
      </c>
      <c r="N513">
        <f>0.023075867*(0.3)</f>
        <v>6.9227601000000005E-3</v>
      </c>
    </row>
    <row r="514" spans="1:14" x14ac:dyDescent="0.25">
      <c r="A514">
        <f>-0.689848732*(0.3)</f>
        <v>-0.20695461959999997</v>
      </c>
      <c r="B514">
        <f>0.0530652870769231*(0.3)</f>
        <v>1.5919586123076923E-2</v>
      </c>
      <c r="C514">
        <f>0.159195861230769*(0.3)</f>
        <v>4.7758758369230769E-2</v>
      </c>
      <c r="D514">
        <f>0.0530652870769231*(0.3)</f>
        <v>1.5919586123076923E-2</v>
      </c>
      <c r="E514">
        <f>0.0530652870769231*(0.3)</f>
        <v>1.5919586123076923E-2</v>
      </c>
      <c r="F514">
        <f>0.0530652870769231*(0.3)</f>
        <v>1.5919586123076923E-2</v>
      </c>
      <c r="G514">
        <f>0.0318391722461538*(0.3)</f>
        <v>9.5517516738461532E-3</v>
      </c>
      <c r="H514">
        <f>0.0530652870769231*(0.3)</f>
        <v>1.5919586123076923E-2</v>
      </c>
      <c r="I514">
        <f>0.0530652870769231*(0.3)</f>
        <v>1.5919586123076923E-2</v>
      </c>
      <c r="J514">
        <f>-0.0106130574153846*(0.3)</f>
        <v>-3.1839172246153837E-3</v>
      </c>
      <c r="K514">
        <f>0.0530652870769231*(0.3)</f>
        <v>1.5919586123076923E-2</v>
      </c>
      <c r="L514">
        <f>0.0260019906676923*(0.3)</f>
        <v>7.8005972003076917E-3</v>
      </c>
      <c r="M514">
        <f>0.0583718157846154*(0.3)</f>
        <v>1.7511544735384615E-2</v>
      </c>
      <c r="N514">
        <f>0.0530652870769231*(0.3)</f>
        <v>1.5919586123076923E-2</v>
      </c>
    </row>
    <row r="515" spans="1:14" x14ac:dyDescent="0.25">
      <c r="A515">
        <f>-2.005708919*(0.3)</f>
        <v>-0.60171267569999998</v>
      </c>
      <c r="B515">
        <f>0.154285301461538*(0.3)</f>
        <v>4.6285590438461539E-2</v>
      </c>
      <c r="C515">
        <f>0.462855904384615*(0.3)</f>
        <v>0.1388567713153846</v>
      </c>
      <c r="D515">
        <f>0.154285301461538*(0.3)</f>
        <v>4.6285590438461539E-2</v>
      </c>
      <c r="E515">
        <f>0.154285301461538*(0.3)</f>
        <v>4.6285590438461539E-2</v>
      </c>
      <c r="F515">
        <f>0.154285301461538*(0.3)</f>
        <v>4.6285590438461539E-2</v>
      </c>
      <c r="G515">
        <f>0.0925711808769231*(0.3)</f>
        <v>2.7771354263076923E-2</v>
      </c>
      <c r="H515">
        <f>0.154285301461538*(0.3)</f>
        <v>4.6285590438461539E-2</v>
      </c>
      <c r="I515">
        <f>0.154285301461538*(0.3)</f>
        <v>4.6285590438461539E-2</v>
      </c>
      <c r="J515">
        <f>-0.0308570602923077*(0.3)</f>
        <v>-9.2571180876923048E-3</v>
      </c>
      <c r="K515">
        <f>0.154285301461538*(0.3)</f>
        <v>4.6285590438461539E-2</v>
      </c>
      <c r="L515">
        <f>0.0755997977161538*(0.3)</f>
        <v>2.2679939314846152E-2</v>
      </c>
      <c r="M515">
        <f>0.169713831607692*(0.3)</f>
        <v>5.0914149482307693E-2</v>
      </c>
      <c r="N515">
        <f>0.154285301461538*(0.3)</f>
        <v>4.6285590438461539E-2</v>
      </c>
    </row>
    <row r="516" spans="1:14" x14ac:dyDescent="0.25">
      <c r="A516">
        <f>0.924074061*(0.3)</f>
        <v>0.27722221829999999</v>
      </c>
      <c r="B516">
        <f>-0.0710826200769231*(0.3)</f>
        <v>-2.1324786023076924E-2</v>
      </c>
      <c r="C516">
        <f>-0.213247860230769*(0.3)</f>
        <v>-6.3974358069230769E-2</v>
      </c>
      <c r="D516">
        <f>-0.0710826200769231*(0.3)</f>
        <v>-2.1324786023076924E-2</v>
      </c>
      <c r="E516">
        <f>-0.0710826200769231*(0.3)</f>
        <v>-2.1324786023076924E-2</v>
      </c>
      <c r="F516">
        <f>-0.0710826200769231*(0.3)</f>
        <v>-2.1324786023076924E-2</v>
      </c>
      <c r="G516">
        <f>-0.0426495720461538*(0.3)</f>
        <v>-1.2794871613846154E-2</v>
      </c>
      <c r="H516">
        <f>-0.0710826200769231*(0.3)</f>
        <v>-2.1324786023076924E-2</v>
      </c>
      <c r="I516">
        <f>-0.0710826200769231*(0.3)</f>
        <v>-2.1324786023076924E-2</v>
      </c>
      <c r="J516">
        <f>0.0142165240153846*(0.3)</f>
        <v>4.2649572046153834E-3</v>
      </c>
      <c r="K516">
        <f>-0.0710826200769231*(0.3)</f>
        <v>-2.1324786023076924E-2</v>
      </c>
      <c r="L516">
        <f>-0.0348304838376923*(0.3)</f>
        <v>-1.0449145151307692E-2</v>
      </c>
      <c r="M516">
        <f>-0.0781908820846154*(0.3)</f>
        <v>-2.3457264625384614E-2</v>
      </c>
      <c r="N516">
        <f>-0.0710826200769231*(0.3)</f>
        <v>-2.1324786023076924E-2</v>
      </c>
    </row>
    <row r="517" spans="1:14" x14ac:dyDescent="0.25">
      <c r="A517">
        <f>-2.529064528*(0.3)</f>
        <v>-0.75871935840000004</v>
      </c>
      <c r="B517">
        <f>0.194543425230769*(0.3)</f>
        <v>5.8363027569230765E-2</v>
      </c>
      <c r="C517">
        <f>0.583630275692308*(0.3)</f>
        <v>0.17508908270769233</v>
      </c>
      <c r="D517">
        <f>0.194543425230769*(0.3)</f>
        <v>5.8363027569230765E-2</v>
      </c>
      <c r="E517">
        <f>0.194543425230769*(0.3)</f>
        <v>5.8363027569230765E-2</v>
      </c>
      <c r="F517">
        <f>0.194543425230769*(0.3)</f>
        <v>5.8363027569230765E-2</v>
      </c>
      <c r="G517">
        <f>0.116726055138462*(0.3)</f>
        <v>3.501781654153846E-2</v>
      </c>
      <c r="H517">
        <f>0.194543425230769*(0.3)</f>
        <v>5.8363027569230765E-2</v>
      </c>
      <c r="I517">
        <f>0.194543425230769*(0.3)</f>
        <v>5.8363027569230765E-2</v>
      </c>
      <c r="J517">
        <f>-0.0389086850461538*(0.3)</f>
        <v>-1.167260551384615E-2</v>
      </c>
      <c r="K517">
        <f>0.194543425230769*(0.3)</f>
        <v>5.8363027569230765E-2</v>
      </c>
      <c r="L517">
        <f>0.0953262783630769*(0.3)</f>
        <v>2.8597883508923075E-2</v>
      </c>
      <c r="M517">
        <f>0.213997767753846*(0.3)</f>
        <v>6.4199330326153839E-2</v>
      </c>
      <c r="N517">
        <f>0.194543425230769*(0.3)</f>
        <v>5.8363027569230765E-2</v>
      </c>
    </row>
    <row r="518" spans="1:14" x14ac:dyDescent="0.25">
      <c r="A518">
        <f>-0.476706451*(0.3)</f>
        <v>-0.14301193529999998</v>
      </c>
      <c r="B518">
        <f>0.036669727*(0.3)</f>
        <v>1.10009181E-2</v>
      </c>
      <c r="C518">
        <f>0.110009181*(0.3)</f>
        <v>3.3002754299999999E-2</v>
      </c>
      <c r="D518">
        <f>0.036669727*(0.3)</f>
        <v>1.10009181E-2</v>
      </c>
      <c r="E518">
        <f>0.036669727*(0.3)</f>
        <v>1.10009181E-2</v>
      </c>
      <c r="F518">
        <f>0.036669727*(0.3)</f>
        <v>1.10009181E-2</v>
      </c>
      <c r="G518">
        <f>0.0220018362*(0.3)</f>
        <v>6.6005508599999993E-3</v>
      </c>
      <c r="H518">
        <f>0.036669727*(0.3)</f>
        <v>1.10009181E-2</v>
      </c>
      <c r="I518">
        <f>0.036669727*(0.3)</f>
        <v>1.10009181E-2</v>
      </c>
      <c r="J518">
        <f>-0.0073339454*(0.3)</f>
        <v>-2.2001836199999993E-3</v>
      </c>
      <c r="K518">
        <f>0.036669727*(0.3)</f>
        <v>1.10009181E-2</v>
      </c>
      <c r="L518">
        <f>0.01796816623*(0.3)</f>
        <v>5.3904498689999998E-3</v>
      </c>
      <c r="M518">
        <f>0.0403366997*(0.3)</f>
        <v>1.210100991E-2</v>
      </c>
      <c r="N518">
        <f>0.036669727*(0.3)</f>
        <v>1.10009181E-2</v>
      </c>
    </row>
    <row r="519" spans="1:14" x14ac:dyDescent="0.25">
      <c r="A519">
        <f>-2.737005558*(0.3)</f>
        <v>-0.8211016673999999</v>
      </c>
      <c r="B519">
        <f>0.210538889076923*(0.3)</f>
        <v>6.3161666723076909E-2</v>
      </c>
      <c r="C519">
        <f>0.631616667230769*(0.3)</f>
        <v>0.18948500016923073</v>
      </c>
      <c r="D519">
        <f>0.210538889076923*(0.3)</f>
        <v>6.3161666723076909E-2</v>
      </c>
      <c r="E519">
        <f>0.210538889076923*(0.3)</f>
        <v>6.3161666723076909E-2</v>
      </c>
      <c r="F519">
        <f>0.210538889076923*(0.3)</f>
        <v>6.3161666723076909E-2</v>
      </c>
      <c r="G519">
        <f>0.126323333446154*(0.3)</f>
        <v>3.7897000033846141E-2</v>
      </c>
      <c r="H519">
        <f>0.210538889076923*(0.3)</f>
        <v>6.3161666723076909E-2</v>
      </c>
      <c r="I519">
        <f>0.210538889076923*(0.3)</f>
        <v>6.3161666723076909E-2</v>
      </c>
      <c r="J519">
        <f>-0.0421077778153846*(0.3)</f>
        <v>-1.2632333344615379E-2</v>
      </c>
      <c r="K519">
        <f>0.210538889076923*(0.3)</f>
        <v>6.3161666723076909E-2</v>
      </c>
      <c r="L519">
        <f>0.103164055647692*(0.3)</f>
        <v>3.0949216694307686E-2</v>
      </c>
      <c r="M519">
        <f>0.231592777984615*(0.3)</f>
        <v>6.9477833395384617E-2</v>
      </c>
      <c r="N519">
        <f>0.210538889076923*(0.3)</f>
        <v>6.3161666723076909E-2</v>
      </c>
    </row>
    <row r="520" spans="1:14" x14ac:dyDescent="0.25">
      <c r="A520">
        <f>-0.358404758*(0.3)</f>
        <v>-0.10752142739999999</v>
      </c>
      <c r="B520">
        <f>0.0275695967692308*(0.3)</f>
        <v>8.2708790307692293E-3</v>
      </c>
      <c r="C520">
        <f>0.0827087903076923*(0.3)</f>
        <v>2.4812637092307691E-2</v>
      </c>
      <c r="D520">
        <f>0.0275695967692308*(0.3)</f>
        <v>8.2708790307692293E-3</v>
      </c>
      <c r="E520">
        <f>0.0275695967692308*(0.3)</f>
        <v>8.2708790307692293E-3</v>
      </c>
      <c r="F520">
        <f>0.0275695967692308*(0.3)</f>
        <v>8.2708790307692293E-3</v>
      </c>
      <c r="G520">
        <f>0.0165417580615385*(0.3)</f>
        <v>4.9625274184615376E-3</v>
      </c>
      <c r="H520">
        <f>0.0275695967692308*(0.3)</f>
        <v>8.2708790307692293E-3</v>
      </c>
      <c r="I520">
        <f>0.0275695967692308*(0.3)</f>
        <v>8.2708790307692293E-3</v>
      </c>
      <c r="J520">
        <f>-0.00551391935384615*(0.3)</f>
        <v>-1.6541758061538456E-3</v>
      </c>
      <c r="K520">
        <f>0.0275695967692308*(0.3)</f>
        <v>8.2708790307692293E-3</v>
      </c>
      <c r="L520">
        <f>0.0135091024169231*(0.3)</f>
        <v>4.052730725076923E-3</v>
      </c>
      <c r="M520">
        <f>0.0303265564461538*(0.3)</f>
        <v>9.0979669338461539E-3</v>
      </c>
      <c r="N520">
        <f>0.0275695967692308*(0.3)</f>
        <v>8.2708790307692293E-3</v>
      </c>
    </row>
    <row r="521" spans="1:14" x14ac:dyDescent="0.25">
      <c r="A521">
        <f>-5.438049236*(0.3)</f>
        <v>-1.6314147708</v>
      </c>
      <c r="B521">
        <f>0.418311479692308*(0.3)</f>
        <v>0.12549344390769229</v>
      </c>
      <c r="C521">
        <f>1.25493443907692*(0.3)</f>
        <v>0.37648033172307688</v>
      </c>
      <c r="D521">
        <f>0.418311479692308*(0.3)</f>
        <v>0.12549344390769229</v>
      </c>
      <c r="E521">
        <f>0.418311479692308*(0.3)</f>
        <v>0.12549344390769229</v>
      </c>
      <c r="F521">
        <f>0.418311479692308*(0.3)</f>
        <v>0.12549344390769229</v>
      </c>
      <c r="G521">
        <f>0.250986887815385*(0.3)</f>
        <v>7.5296066344615373E-2</v>
      </c>
      <c r="H521">
        <f>0.418311479692308*(0.3)</f>
        <v>0.12549344390769229</v>
      </c>
      <c r="I521">
        <f>0.418311479692308*(0.3)</f>
        <v>0.12549344390769229</v>
      </c>
      <c r="J521">
        <f>-0.0836622959384615*(0.3)</f>
        <v>-2.5098688781538453E-2</v>
      </c>
      <c r="K521">
        <f>0.418311479692308*(0.3)</f>
        <v>0.12549344390769229</v>
      </c>
      <c r="L521">
        <f>0.204972625049231*(0.3)</f>
        <v>6.1491787514769233E-2</v>
      </c>
      <c r="M521">
        <f>0.460142627661539*(0.3)</f>
        <v>0.13804278829846156</v>
      </c>
      <c r="N521">
        <f>0.418311479692308*(0.3)</f>
        <v>0.12549344390769229</v>
      </c>
    </row>
    <row r="522" spans="1:14" x14ac:dyDescent="0.25">
      <c r="A522">
        <f>-0.485378388*(0.3)</f>
        <v>-0.1456135164</v>
      </c>
      <c r="B522">
        <f>0.0373367990769231*(0.3)</f>
        <v>1.1201039723076922E-2</v>
      </c>
      <c r="C522">
        <f>0.112010397230769*(0.3)</f>
        <v>3.3603119169230762E-2</v>
      </c>
      <c r="D522">
        <f>0.0373367990769231*(0.3)</f>
        <v>1.1201039723076922E-2</v>
      </c>
      <c r="E522">
        <f>0.0373367990769231*(0.3)</f>
        <v>1.1201039723076922E-2</v>
      </c>
      <c r="F522">
        <f>0.0373367990769231*(0.3)</f>
        <v>1.1201039723076922E-2</v>
      </c>
      <c r="G522">
        <f>0.0224020794461538*(0.3)</f>
        <v>6.7206238338461529E-3</v>
      </c>
      <c r="H522">
        <f>0.0373367990769231*(0.3)</f>
        <v>1.1201039723076922E-2</v>
      </c>
      <c r="I522">
        <f>0.0373367990769231*(0.3)</f>
        <v>1.1201039723076922E-2</v>
      </c>
      <c r="J522">
        <f>-0.00746735981538461*(0.3)</f>
        <v>-2.2402079446153839E-3</v>
      </c>
      <c r="K522">
        <f>0.0373367990769231*(0.3)</f>
        <v>1.1201039723076922E-2</v>
      </c>
      <c r="L522">
        <f>0.0182950315476923*(0.3)</f>
        <v>5.488509464307692E-3</v>
      </c>
      <c r="M522">
        <f>0.0410704789846154*(0.3)</f>
        <v>1.2321143695384616E-2</v>
      </c>
      <c r="N522">
        <f>0.0373367990769231*(0.3)</f>
        <v>1.1201039723076922E-2</v>
      </c>
    </row>
    <row r="523" spans="1:14" x14ac:dyDescent="0.25">
      <c r="A523">
        <f>-7.436043834*(0.3)</f>
        <v>-2.2308131501999999</v>
      </c>
      <c r="B523">
        <f>0.572003371846154*(0.3)</f>
        <v>0.17160101155384616</v>
      </c>
      <c r="C523">
        <f>1.71601011553846*(0.3)</f>
        <v>0.51480303466153854</v>
      </c>
      <c r="D523">
        <f>0.572003371846154*(0.3)</f>
        <v>0.17160101155384616</v>
      </c>
      <c r="E523">
        <f>0.572003371846154*(0.3)</f>
        <v>0.17160101155384616</v>
      </c>
      <c r="F523">
        <f>0.572003371846154*(0.3)</f>
        <v>0.17160101155384616</v>
      </c>
      <c r="G523">
        <f>0.343202023107692*(0.3)</f>
        <v>0.1029606069323077</v>
      </c>
      <c r="H523">
        <f>0.572003371846154*(0.3)</f>
        <v>0.17160101155384616</v>
      </c>
      <c r="I523">
        <f>0.572003371846154*(0.3)</f>
        <v>0.17160101155384616</v>
      </c>
      <c r="J523">
        <f>-0.114400674369231*(0.3)</f>
        <v>-3.4320202310769224E-2</v>
      </c>
      <c r="K523">
        <f>0.572003371846154*(0.3)</f>
        <v>0.17160101155384616</v>
      </c>
      <c r="L523">
        <f>0.280281652204615*(0.3)</f>
        <v>8.4084495661384623E-2</v>
      </c>
      <c r="M523">
        <f>0.629203709030769*(0.3)</f>
        <v>0.18876111270923082</v>
      </c>
      <c r="N523">
        <f>0.572003371846154*(0.3)</f>
        <v>0.17160101155384616</v>
      </c>
    </row>
    <row r="524" spans="1:14" x14ac:dyDescent="0.25">
      <c r="A524">
        <f>0.056285138*(0.3)</f>
        <v>1.6885541399999999E-2</v>
      </c>
      <c r="B524">
        <f>-0.004329626*(0.3)</f>
        <v>-1.2988877999999999E-3</v>
      </c>
      <c r="C524">
        <f>-0.012988878*(0.3)</f>
        <v>-3.8966633999999996E-3</v>
      </c>
      <c r="D524">
        <f>-0.004329626*(0.3)</f>
        <v>-1.2988877999999999E-3</v>
      </c>
      <c r="E524">
        <f>-0.004329626*(0.3)</f>
        <v>-1.2988877999999999E-3</v>
      </c>
      <c r="F524">
        <f>-0.004329626*(0.3)</f>
        <v>-1.2988877999999999E-3</v>
      </c>
      <c r="G524">
        <f>-0.0025977756*(0.3)</f>
        <v>-7.7933267999999998E-4</v>
      </c>
      <c r="H524">
        <f>-0.004329626*(0.3)</f>
        <v>-1.2988877999999999E-3</v>
      </c>
      <c r="I524">
        <f>-0.004329626*(0.3)</f>
        <v>-1.2988877999999999E-3</v>
      </c>
      <c r="J524">
        <f>0.0008659252*(0.3)</f>
        <v>2.5977755999999992E-4</v>
      </c>
      <c r="K524">
        <f>-0.004329626*(0.3)</f>
        <v>-1.2988877999999999E-3</v>
      </c>
      <c r="L524">
        <f>-0.00212151674*(0.3)</f>
        <v>-6.3645502199999988E-4</v>
      </c>
      <c r="M524">
        <f>-0.0047625886*(0.3)</f>
        <v>-1.4287765799999999E-3</v>
      </c>
      <c r="N524">
        <f>-0.004329626*(0.3)</f>
        <v>-1.2988877999999999E-3</v>
      </c>
    </row>
    <row r="525" spans="1:14" x14ac:dyDescent="0.25">
      <c r="A525">
        <f>-6.211490127*(0.3)</f>
        <v>-1.8634470380999999</v>
      </c>
      <c r="B525">
        <f>0.477806932846154*(0.3)</f>
        <v>0.14334207985384617</v>
      </c>
      <c r="C525">
        <f>1.43342079853846*(0.3)</f>
        <v>0.43002623956153851</v>
      </c>
      <c r="D525">
        <f>0.477806932846154*(0.3)</f>
        <v>0.14334207985384617</v>
      </c>
      <c r="E525">
        <f>0.477806932846154*(0.3)</f>
        <v>0.14334207985384617</v>
      </c>
      <c r="F525">
        <f>0.477806932846154*(0.3)</f>
        <v>0.14334207985384617</v>
      </c>
      <c r="G525">
        <f>0.286684159707692*(0.3)</f>
        <v>8.6005247912307695E-2</v>
      </c>
      <c r="H525">
        <f>0.477806932846154*(0.3)</f>
        <v>0.14334207985384617</v>
      </c>
      <c r="I525">
        <f>0.477806932846154*(0.3)</f>
        <v>0.14334207985384617</v>
      </c>
      <c r="J525">
        <f>-0.0955613865692308*(0.3)</f>
        <v>-2.8668415970769225E-2</v>
      </c>
      <c r="K525">
        <f>0.477806932846154*(0.3)</f>
        <v>0.14334207985384617</v>
      </c>
      <c r="L525">
        <f>0.234125397094615*(0.3)</f>
        <v>7.0237619128384624E-2</v>
      </c>
      <c r="M525">
        <f>0.525587626130769*(0.3)</f>
        <v>0.15767628783923079</v>
      </c>
      <c r="N525">
        <f>0.477806932846154*(0.3)</f>
        <v>0.14334207985384617</v>
      </c>
    </row>
    <row r="526" spans="1:14" x14ac:dyDescent="0.25">
      <c r="A526">
        <f>-0.169648591*(0.3)</f>
        <v>-5.0894577299999993E-2</v>
      </c>
      <c r="B526">
        <f>0.0130498916153846*(0.3)</f>
        <v>3.9149674846153844E-3</v>
      </c>
      <c r="C526">
        <f>0.0391496748461538*(0.3)</f>
        <v>1.1744902453846153E-2</v>
      </c>
      <c r="D526">
        <f>0.0130498916153846*(0.3)</f>
        <v>3.9149674846153844E-3</v>
      </c>
      <c r="E526">
        <f>0.0130498916153846*(0.3)</f>
        <v>3.9149674846153844E-3</v>
      </c>
      <c r="F526">
        <f>0.0130498916153846*(0.3)</f>
        <v>3.9149674846153844E-3</v>
      </c>
      <c r="G526">
        <f>0.00782993496923077*(0.3)</f>
        <v>2.3489804907692305E-3</v>
      </c>
      <c r="H526">
        <f>0.0130498916153846*(0.3)</f>
        <v>3.9149674846153844E-3</v>
      </c>
      <c r="I526">
        <f>0.0130498916153846*(0.3)</f>
        <v>3.9149674846153844E-3</v>
      </c>
      <c r="J526">
        <f>-0.00260997832307692*(0.3)</f>
        <v>-7.8299349692307664E-4</v>
      </c>
      <c r="K526">
        <f>0.0130498916153846*(0.3)</f>
        <v>3.9149674846153844E-3</v>
      </c>
      <c r="L526">
        <f>0.00639444689153846*(0.3)</f>
        <v>1.9183340674615381E-3</v>
      </c>
      <c r="M526">
        <f>0.0143548807769231*(0.3)</f>
        <v>4.3064642330769226E-3</v>
      </c>
      <c r="N526">
        <f>0.0130498916153846*(0.3)</f>
        <v>3.9149674846153844E-3</v>
      </c>
    </row>
    <row r="527" spans="1:14" x14ac:dyDescent="0.25">
      <c r="A527">
        <f>-7.72450577*(0.3)</f>
        <v>-2.317351731</v>
      </c>
      <c r="B527">
        <f>0.594192751538462*(0.3)</f>
        <v>0.17825782546153845</v>
      </c>
      <c r="C527">
        <f>1.78257825461538*(0.3)</f>
        <v>0.53477347638461536</v>
      </c>
      <c r="D527">
        <f>0.594192751538462*(0.3)</f>
        <v>0.17825782546153845</v>
      </c>
      <c r="E527">
        <f>0.594192751538462*(0.3)</f>
        <v>0.17825782546153845</v>
      </c>
      <c r="F527">
        <f>0.594192751538462*(0.3)</f>
        <v>0.17825782546153845</v>
      </c>
      <c r="G527">
        <f>0.356515650923077*(0.3)</f>
        <v>0.10695469527692307</v>
      </c>
      <c r="H527">
        <f>0.594192751538462*(0.3)</f>
        <v>0.17825782546153845</v>
      </c>
      <c r="I527">
        <f>0.594192751538462*(0.3)</f>
        <v>0.17825782546153845</v>
      </c>
      <c r="J527">
        <f>-0.118838550307692*(0.3)</f>
        <v>-3.5651565092307679E-2</v>
      </c>
      <c r="K527">
        <f>0.594192751538462*(0.3)</f>
        <v>0.17825782546153845</v>
      </c>
      <c r="L527">
        <f>0.291154448253846*(0.3)</f>
        <v>8.7346334476153836E-2</v>
      </c>
      <c r="M527">
        <f>0.653612026692308*(0.3)</f>
        <v>0.19608360800769228</v>
      </c>
      <c r="N527">
        <f>0.594192751538462*(0.3)</f>
        <v>0.17825782546153845</v>
      </c>
    </row>
    <row r="528" spans="1:14" x14ac:dyDescent="0.25">
      <c r="A528">
        <f>1.647385046*(0.3)</f>
        <v>0.49421551379999995</v>
      </c>
      <c r="B528">
        <f>-0.126721926615385*(0.3)</f>
        <v>-3.8016577984615385E-2</v>
      </c>
      <c r="C528">
        <f>-0.380165779846154*(0.3)</f>
        <v>-0.11404973395384616</v>
      </c>
      <c r="D528">
        <f>-0.126721926615385*(0.3)</f>
        <v>-3.8016577984615385E-2</v>
      </c>
      <c r="E528">
        <f>-0.126721926615385*(0.3)</f>
        <v>-3.8016577984615385E-2</v>
      </c>
      <c r="F528">
        <f>-0.126721926615385*(0.3)</f>
        <v>-3.8016577984615385E-2</v>
      </c>
      <c r="G528">
        <f>-0.0760331559692308*(0.3)</f>
        <v>-2.2809946790769229E-2</v>
      </c>
      <c r="H528">
        <f>-0.126721926615385*(0.3)</f>
        <v>-3.8016577984615385E-2</v>
      </c>
      <c r="I528">
        <f>-0.126721926615385*(0.3)</f>
        <v>-3.8016577984615385E-2</v>
      </c>
      <c r="J528">
        <f>0.0253443853230769*(0.3)</f>
        <v>7.6033155969230746E-3</v>
      </c>
      <c r="K528">
        <f>-0.126721926615385*(0.3)</f>
        <v>-3.8016577984615385E-2</v>
      </c>
      <c r="L528">
        <f>-0.0620937440415385*(0.3)</f>
        <v>-1.8628123212461538E-2</v>
      </c>
      <c r="M528">
        <f>-0.139394119276923*(0.3)</f>
        <v>-4.1818235783076925E-2</v>
      </c>
      <c r="N528">
        <f>-0.126721926615385*(0.3)</f>
        <v>-3.8016577984615385E-2</v>
      </c>
    </row>
    <row r="529" spans="1:14" x14ac:dyDescent="0.25">
      <c r="A529">
        <f>-2.276285044*(0.3)</f>
        <v>-0.68288551320000002</v>
      </c>
      <c r="B529">
        <f>0.175098849538462*(0.3)</f>
        <v>5.2529654861538468E-2</v>
      </c>
      <c r="C529">
        <f>0.525296548615385*(0.3)</f>
        <v>0.15758896458461538</v>
      </c>
      <c r="D529">
        <f>0.175098849538462*(0.3)</f>
        <v>5.2529654861538468E-2</v>
      </c>
      <c r="E529">
        <f>0.175098849538462*(0.3)</f>
        <v>5.2529654861538468E-2</v>
      </c>
      <c r="F529">
        <f>0.175098849538462*(0.3)</f>
        <v>5.2529654861538468E-2</v>
      </c>
      <c r="G529">
        <f>0.105059309723077*(0.3)</f>
        <v>3.1517792916923082E-2</v>
      </c>
      <c r="H529">
        <f>0.175098849538462*(0.3)</f>
        <v>5.2529654861538468E-2</v>
      </c>
      <c r="I529">
        <f>0.175098849538462*(0.3)</f>
        <v>5.2529654861538468E-2</v>
      </c>
      <c r="J529">
        <f>-0.0350197699076923*(0.3)</f>
        <v>-1.0505930972307691E-2</v>
      </c>
      <c r="K529">
        <f>0.175098849538462*(0.3)</f>
        <v>5.2529654861538468E-2</v>
      </c>
      <c r="L529">
        <f>0.0857984362738462*(0.3)</f>
        <v>2.5739530882153847E-2</v>
      </c>
      <c r="M529">
        <f>0.192608734492308*(0.3)</f>
        <v>5.7782620347692312E-2</v>
      </c>
      <c r="N529">
        <f>0.175098849538462*(0.3)</f>
        <v>5.2529654861538468E-2</v>
      </c>
    </row>
    <row r="530" spans="1:14" x14ac:dyDescent="0.25">
      <c r="A530">
        <f>-1.002887431*(0.3)</f>
        <v>-0.30086622930000001</v>
      </c>
      <c r="B530">
        <f>0.077145187*(0.3)</f>
        <v>2.31435561E-2</v>
      </c>
      <c r="C530">
        <f>0.231435561*(0.3)</f>
        <v>6.9430668299999998E-2</v>
      </c>
      <c r="D530">
        <f>0.077145187*(0.3)</f>
        <v>2.31435561E-2</v>
      </c>
      <c r="E530">
        <f>0.077145187*(0.3)</f>
        <v>2.31435561E-2</v>
      </c>
      <c r="F530">
        <f>0.077145187*(0.3)</f>
        <v>2.31435561E-2</v>
      </c>
      <c r="G530">
        <f>0.0462871122*(0.3)</f>
        <v>1.3886133659999999E-2</v>
      </c>
      <c r="H530">
        <f>0.077145187*(0.3)</f>
        <v>2.31435561E-2</v>
      </c>
      <c r="I530">
        <f>0.077145187*(0.3)</f>
        <v>2.31435561E-2</v>
      </c>
      <c r="J530">
        <f>-0.0154290374*(0.3)</f>
        <v>-4.6287112199999989E-3</v>
      </c>
      <c r="K530">
        <f>0.077145187*(0.3)</f>
        <v>2.31435561E-2</v>
      </c>
      <c r="L530">
        <f>0.03780114163*(0.3)</f>
        <v>1.1340342489E-2</v>
      </c>
      <c r="M530">
        <f>0.0848597057*(0.3)</f>
        <v>2.5457911710000003E-2</v>
      </c>
      <c r="N530">
        <f>0.077145187*(0.3)</f>
        <v>2.31435561E-2</v>
      </c>
    </row>
    <row r="531" spans="1:14" x14ac:dyDescent="0.25">
      <c r="A531">
        <f>-4.036905541*(0.3)</f>
        <v>-1.2110716623</v>
      </c>
      <c r="B531">
        <f>0.310531195461539*(0.3)</f>
        <v>9.3159358638461545E-2</v>
      </c>
      <c r="C531">
        <f>0.931593586384616*(0.3)</f>
        <v>0.27947807591538465</v>
      </c>
      <c r="D531">
        <f>0.310531195461539*(0.3)</f>
        <v>9.3159358638461545E-2</v>
      </c>
      <c r="E531">
        <f>0.310531195461539*(0.3)</f>
        <v>9.3159358638461545E-2</v>
      </c>
      <c r="F531">
        <f>0.310531195461539*(0.3)</f>
        <v>9.3159358638461545E-2</v>
      </c>
      <c r="G531">
        <f>0.186318717276923*(0.3)</f>
        <v>5.5895615183076924E-2</v>
      </c>
      <c r="H531">
        <f>0.310531195461539*(0.3)</f>
        <v>9.3159358638461545E-2</v>
      </c>
      <c r="I531">
        <f>0.310531195461539*(0.3)</f>
        <v>9.3159358638461545E-2</v>
      </c>
      <c r="J531">
        <f>-0.0621062390923077*(0.3)</f>
        <v>-1.8631871727692307E-2</v>
      </c>
      <c r="K531">
        <f>0.310531195461539*(0.3)</f>
        <v>9.3159358638461545E-2</v>
      </c>
      <c r="L531">
        <f>0.152160285776154*(0.3)</f>
        <v>4.5648085732846157E-2</v>
      </c>
      <c r="M531">
        <f>0.341584315007692*(0.3)</f>
        <v>0.1024752945023077</v>
      </c>
      <c r="N531">
        <f>0.310531195461539*(0.3)</f>
        <v>9.3159358638461545E-2</v>
      </c>
    </row>
    <row r="532" spans="1:14" x14ac:dyDescent="0.25">
      <c r="A532">
        <f>-2.426196274*(0.3)</f>
        <v>-0.72785888219999995</v>
      </c>
      <c r="B532">
        <f>0.186630482615385*(0.3)</f>
        <v>5.5989144784615384E-2</v>
      </c>
      <c r="C532">
        <f>0.559891447846154*(0.3)</f>
        <v>0.16796743435384615</v>
      </c>
      <c r="D532">
        <f>0.186630482615385*(0.3)</f>
        <v>5.5989144784615384E-2</v>
      </c>
      <c r="E532">
        <f>0.186630482615385*(0.3)</f>
        <v>5.5989144784615384E-2</v>
      </c>
      <c r="F532">
        <f>0.186630482615385*(0.3)</f>
        <v>5.5989144784615384E-2</v>
      </c>
      <c r="G532">
        <f>0.111978289569231*(0.3)</f>
        <v>3.3593486870769226E-2</v>
      </c>
      <c r="H532">
        <f>0.186630482615385*(0.3)</f>
        <v>5.5989144784615384E-2</v>
      </c>
      <c r="I532">
        <f>0.186630482615385*(0.3)</f>
        <v>5.5989144784615384E-2</v>
      </c>
      <c r="J532">
        <f>-0.0373260965230769*(0.3)</f>
        <v>-1.1197828956923075E-2</v>
      </c>
      <c r="K532">
        <f>0.186630482615385*(0.3)</f>
        <v>5.5989144784615384E-2</v>
      </c>
      <c r="L532">
        <f>0.0914489364815385*(0.3)</f>
        <v>2.7434680944461536E-2</v>
      </c>
      <c r="M532">
        <f>0.205293530876923*(0.3)</f>
        <v>6.1588059263076922E-2</v>
      </c>
      <c r="N532">
        <f>0.186630482615385*(0.3)</f>
        <v>5.5989144784615384E-2</v>
      </c>
    </row>
    <row r="533" spans="1:14" x14ac:dyDescent="0.25">
      <c r="A533">
        <f>-6.213289749*(0.3)</f>
        <v>-1.8639869247</v>
      </c>
      <c r="B533">
        <f>0.477945365307692*(0.3)</f>
        <v>0.1433836095923077</v>
      </c>
      <c r="C533">
        <f>1.43383609592308*(0.3)</f>
        <v>0.43015082877692307</v>
      </c>
      <c r="D533">
        <f>0.477945365307692*(0.3)</f>
        <v>0.1433836095923077</v>
      </c>
      <c r="E533">
        <f>0.477945365307692*(0.3)</f>
        <v>0.1433836095923077</v>
      </c>
      <c r="F533">
        <f>0.477945365307692*(0.3)</f>
        <v>0.1433836095923077</v>
      </c>
      <c r="G533">
        <f>0.286767219184615*(0.3)</f>
        <v>8.6030165755384622E-2</v>
      </c>
      <c r="H533">
        <f>0.477945365307692*(0.3)</f>
        <v>0.1433836095923077</v>
      </c>
      <c r="I533">
        <f>0.477945365307692*(0.3)</f>
        <v>0.1433836095923077</v>
      </c>
      <c r="J533">
        <f>-0.0955890730615384*(0.3)</f>
        <v>-2.8676721918461531E-2</v>
      </c>
      <c r="K533">
        <f>0.477945365307692*(0.3)</f>
        <v>0.1433836095923077</v>
      </c>
      <c r="L533">
        <f>0.234193229000769*(0.3)</f>
        <v>7.0257968700230766E-2</v>
      </c>
      <c r="M533">
        <f>0.525739901838462*(0.3)</f>
        <v>0.1577219705515385</v>
      </c>
      <c r="N533">
        <f>0.477945365307692*(0.3)</f>
        <v>0.1433836095923077</v>
      </c>
    </row>
    <row r="534" spans="1:14" x14ac:dyDescent="0.25">
      <c r="A534">
        <f>1.075439394*(0.3)</f>
        <v>0.32263181819999998</v>
      </c>
      <c r="B534">
        <f>-0.0827261072307692*(0.3)</f>
        <v>-2.481783216923077E-2</v>
      </c>
      <c r="C534">
        <f>-0.248178321692308*(0.3)</f>
        <v>-7.4453496507692299E-2</v>
      </c>
      <c r="D534">
        <f>-0.0827261072307692*(0.3)</f>
        <v>-2.481783216923077E-2</v>
      </c>
      <c r="E534">
        <f>-0.0827261072307692*(0.3)</f>
        <v>-2.481783216923077E-2</v>
      </c>
      <c r="F534">
        <f>-0.0827261072307692*(0.3)</f>
        <v>-2.481783216923077E-2</v>
      </c>
      <c r="G534">
        <f>-0.0496356643384615*(0.3)</f>
        <v>-1.4890699301538461E-2</v>
      </c>
      <c r="H534">
        <f>-0.0827261072307692*(0.3)</f>
        <v>-2.481783216923077E-2</v>
      </c>
      <c r="I534">
        <f>-0.0827261072307692*(0.3)</f>
        <v>-2.481783216923077E-2</v>
      </c>
      <c r="J534">
        <f>0.0165452214461538*(0.3)</f>
        <v>4.9635664338461526E-3</v>
      </c>
      <c r="K534">
        <f>-0.0827261072307692*(0.3)</f>
        <v>-2.481783216923077E-2</v>
      </c>
      <c r="L534">
        <f>-0.0405357925430769*(0.3)</f>
        <v>-1.2160737762923077E-2</v>
      </c>
      <c r="M534">
        <f>-0.0909987179538462*(0.3)</f>
        <v>-2.7299615386153848E-2</v>
      </c>
      <c r="N534">
        <f>-0.0827261072307692*(0.3)</f>
        <v>-2.481783216923077E-2</v>
      </c>
    </row>
    <row r="535" spans="1:14" x14ac:dyDescent="0.25">
      <c r="A535">
        <f>-9.867959341*(0.3)</f>
        <v>-2.9603878023000001</v>
      </c>
      <c r="B535">
        <f>0.759073795461539*(0.3)</f>
        <v>0.22772213863846155</v>
      </c>
      <c r="C535">
        <f>2.27722138638462*(0.3)</f>
        <v>0.68316641591538474</v>
      </c>
      <c r="D535">
        <f>0.759073795461539*(0.3)</f>
        <v>0.22772213863846155</v>
      </c>
      <c r="E535">
        <f>0.759073795461539*(0.3)</f>
        <v>0.22772213863846155</v>
      </c>
      <c r="F535">
        <f>0.759073795461539*(0.3)</f>
        <v>0.22772213863846155</v>
      </c>
      <c r="G535">
        <f>0.455444277276923*(0.3)</f>
        <v>0.13663328318307694</v>
      </c>
      <c r="H535">
        <f>0.759073795461539*(0.3)</f>
        <v>0.22772213863846155</v>
      </c>
      <c r="I535">
        <f>0.759073795461539*(0.3)</f>
        <v>0.22772213863846155</v>
      </c>
      <c r="J535">
        <f>-0.151814759092308*(0.3)</f>
        <v>-4.5544427727692301E-2</v>
      </c>
      <c r="K535">
        <f>0.759073795461539*(0.3)</f>
        <v>0.22772213863846155</v>
      </c>
      <c r="L535">
        <f>0.371946159776154*(0.3)</f>
        <v>0.11158384793284616</v>
      </c>
      <c r="M535">
        <f>0.834981175007692*(0.3)</f>
        <v>0.25049435250230773</v>
      </c>
      <c r="N535">
        <f>0.759073795461539*(0.3)</f>
        <v>0.22772213863846155</v>
      </c>
    </row>
    <row r="536" spans="1:14" x14ac:dyDescent="0.25">
      <c r="A536">
        <f>-0.592325783*(0.3)</f>
        <v>-0.17769773490000002</v>
      </c>
      <c r="B536">
        <f>0.0455635217692308*(0.3)</f>
        <v>1.3669056530769231E-2</v>
      </c>
      <c r="C536">
        <f>0.136690565307692*(0.3)</f>
        <v>4.1007169592307692E-2</v>
      </c>
      <c r="D536">
        <f>0.0455635217692308*(0.3)</f>
        <v>1.3669056530769231E-2</v>
      </c>
      <c r="E536">
        <f>0.0455635217692308*(0.3)</f>
        <v>1.3669056530769231E-2</v>
      </c>
      <c r="F536">
        <f>0.0455635217692308*(0.3)</f>
        <v>1.3669056530769231E-2</v>
      </c>
      <c r="G536">
        <f>0.0273381130615385*(0.3)</f>
        <v>8.2014339184615388E-3</v>
      </c>
      <c r="H536">
        <f>0.0455635217692308*(0.3)</f>
        <v>1.3669056530769231E-2</v>
      </c>
      <c r="I536">
        <f>0.0455635217692308*(0.3)</f>
        <v>1.3669056530769231E-2</v>
      </c>
      <c r="J536">
        <f>-0.00911270435384615*(0.3)</f>
        <v>-2.7338113061538458E-3</v>
      </c>
      <c r="K536">
        <f>0.0455635217692308*(0.3)</f>
        <v>1.3669056530769231E-2</v>
      </c>
      <c r="L536">
        <f>0.0223261256669231*(0.3)</f>
        <v>6.6978377000769234E-3</v>
      </c>
      <c r="M536">
        <f>0.0501198739461539*(0.3)</f>
        <v>1.5035962183846155E-2</v>
      </c>
      <c r="N536">
        <f>0.0455635217692308*(0.3)</f>
        <v>1.3669056530769231E-2</v>
      </c>
    </row>
    <row r="537" spans="1:14" x14ac:dyDescent="0.25">
      <c r="A537">
        <f>-9.517377277*(0.3)</f>
        <v>-2.8552131830999996</v>
      </c>
      <c r="B537">
        <f>0.732105944384615*(0.3)</f>
        <v>0.2196317833153846</v>
      </c>
      <c r="C537">
        <f>2.19631783315385*(0.3)</f>
        <v>0.65889534994615373</v>
      </c>
      <c r="D537">
        <f>0.732105944384615*(0.3)</f>
        <v>0.2196317833153846</v>
      </c>
      <c r="E537">
        <f>0.732105944384615*(0.3)</f>
        <v>0.2196317833153846</v>
      </c>
      <c r="F537">
        <f>0.732105944384615*(0.3)</f>
        <v>0.2196317833153846</v>
      </c>
      <c r="G537">
        <f>0.439263566630769*(0.3)</f>
        <v>0.13177906998923075</v>
      </c>
      <c r="H537">
        <f>0.732105944384615*(0.3)</f>
        <v>0.2196317833153846</v>
      </c>
      <c r="I537">
        <f>0.732105944384615*(0.3)</f>
        <v>0.2196317833153846</v>
      </c>
      <c r="J537">
        <f>-0.146421188876923*(0.3)</f>
        <v>-4.3926356663076913E-2</v>
      </c>
      <c r="K537">
        <f>0.732105944384615*(0.3)</f>
        <v>0.2196317833153846</v>
      </c>
      <c r="L537">
        <f>0.358731912748462*(0.3)</f>
        <v>0.10761957382453846</v>
      </c>
      <c r="M537">
        <f>0.805316538823077*(0.3)</f>
        <v>0.24159496164692307</v>
      </c>
      <c r="N537">
        <f>0.732105944384615*(0.3)</f>
        <v>0.2196317833153846</v>
      </c>
    </row>
    <row r="538" spans="1:14" x14ac:dyDescent="0.25">
      <c r="A538">
        <f>2.632583466*(0.3)</f>
        <v>0.78977503979999997</v>
      </c>
      <c r="B538">
        <f>-0.202506420461538*(0.3)</f>
        <v>-6.0751926138461532E-2</v>
      </c>
      <c r="C538">
        <f>-0.607519261384615*(0.3)</f>
        <v>-0.1822557784153846</v>
      </c>
      <c r="D538">
        <f>-0.202506420461538*(0.3)</f>
        <v>-6.0751926138461532E-2</v>
      </c>
      <c r="E538">
        <f>-0.202506420461538*(0.3)</f>
        <v>-6.0751926138461532E-2</v>
      </c>
      <c r="F538">
        <f>-0.202506420461538*(0.3)</f>
        <v>-6.0751926138461532E-2</v>
      </c>
      <c r="G538">
        <f>-0.121503852276923*(0.3)</f>
        <v>-3.645115568307692E-2</v>
      </c>
      <c r="H538">
        <f>-0.202506420461538*(0.3)</f>
        <v>-6.0751926138461532E-2</v>
      </c>
      <c r="I538">
        <f>-0.202506420461538*(0.3)</f>
        <v>-6.0751926138461532E-2</v>
      </c>
      <c r="J538">
        <f>0.0405012840923077*(0.3)</f>
        <v>1.2150385227692304E-2</v>
      </c>
      <c r="K538">
        <f>-0.202506420461538*(0.3)</f>
        <v>-6.0751926138461532E-2</v>
      </c>
      <c r="L538">
        <f>-0.0992281460261538*(0.3)</f>
        <v>-2.976844380784615E-2</v>
      </c>
      <c r="M538">
        <f>-0.222757062507692*(0.3)</f>
        <v>-6.6827118752307693E-2</v>
      </c>
      <c r="N538">
        <f>-0.202506420461538*(0.3)</f>
        <v>-6.0751926138461532E-2</v>
      </c>
    </row>
    <row r="539" spans="1:14" x14ac:dyDescent="0.25">
      <c r="A539">
        <f>-12.04889311*(0.3)</f>
        <v>-3.6146679329999998</v>
      </c>
      <c r="B539">
        <f>0.926837931538462*(0.3)</f>
        <v>0.27805137946153846</v>
      </c>
      <c r="C539">
        <f>2.78051379461538*(0.3)</f>
        <v>0.83415413838461538</v>
      </c>
      <c r="D539">
        <f>0.926837931538462*(0.3)</f>
        <v>0.27805137946153846</v>
      </c>
      <c r="E539">
        <f>0.926837931538462*(0.3)</f>
        <v>0.27805137946153846</v>
      </c>
      <c r="F539">
        <f>0.926837931538462*(0.3)</f>
        <v>0.27805137946153846</v>
      </c>
      <c r="G539">
        <f>0.556102758923077*(0.3)</f>
        <v>0.16683082767692306</v>
      </c>
      <c r="H539">
        <f>0.926837931538462*(0.3)</f>
        <v>0.27805137946153846</v>
      </c>
      <c r="I539">
        <f>0.926837931538462*(0.3)</f>
        <v>0.27805137946153846</v>
      </c>
      <c r="J539">
        <f>-0.185367586307692*(0.3)</f>
        <v>-5.561027589230768E-2</v>
      </c>
      <c r="K539">
        <f>0.926837931538462*(0.3)</f>
        <v>0.27805137946153846</v>
      </c>
      <c r="L539">
        <f>0.454150586453846*(0.3)</f>
        <v>0.13624517593615385</v>
      </c>
      <c r="M539">
        <f>1.01952172469231*(0.3)</f>
        <v>0.30585651740769232</v>
      </c>
      <c r="N539">
        <f>0.926837931538462*(0.3)</f>
        <v>0.27805137946153846</v>
      </c>
    </row>
    <row r="540" spans="1:14" x14ac:dyDescent="0.25">
      <c r="A540">
        <f>-4.981108139*(0.3)</f>
        <v>-1.4943324416999999</v>
      </c>
      <c r="B540">
        <f>0.383162164538462*(0.3)</f>
        <v>0.11494864936153845</v>
      </c>
      <c r="C540">
        <f>1.14948649361538*(0.3)</f>
        <v>0.34484594808461538</v>
      </c>
      <c r="D540">
        <f>0.383162164538462*(0.3)</f>
        <v>0.11494864936153845</v>
      </c>
      <c r="E540">
        <f>0.383162164538462*(0.3)</f>
        <v>0.11494864936153845</v>
      </c>
      <c r="F540">
        <f>0.383162164538462*(0.3)</f>
        <v>0.11494864936153845</v>
      </c>
      <c r="G540">
        <f>0.229897298723077*(0.3)</f>
        <v>6.8969189616923068E-2</v>
      </c>
      <c r="H540">
        <f>0.383162164538462*(0.3)</f>
        <v>0.11494864936153845</v>
      </c>
      <c r="I540">
        <f>0.383162164538462*(0.3)</f>
        <v>0.11494864936153845</v>
      </c>
      <c r="J540">
        <f>-0.0766324329076923*(0.3)</f>
        <v>-2.2989729872307685E-2</v>
      </c>
      <c r="K540">
        <f>0.383162164538462*(0.3)</f>
        <v>0.11494864936153845</v>
      </c>
      <c r="L540">
        <f>0.187749460623846*(0.3)</f>
        <v>5.6324838187153843E-2</v>
      </c>
      <c r="M540">
        <f>0.421478380992308*(0.3)</f>
        <v>0.12644351429769232</v>
      </c>
      <c r="N540">
        <f>0.383162164538462*(0.3)</f>
        <v>0.11494864936153845</v>
      </c>
    </row>
    <row r="541" spans="1:14" x14ac:dyDescent="0.25">
      <c r="A541">
        <f>-14.1532942*(0.3)</f>
        <v>-4.2459882599999998</v>
      </c>
      <c r="B541">
        <f>1.08871493846154*(0.3)</f>
        <v>0.32661448153846151</v>
      </c>
      <c r="C541">
        <f>3.26614481538462*(0.3)</f>
        <v>0.97984344461538464</v>
      </c>
      <c r="D541">
        <f>1.08871493846154*(0.3)</f>
        <v>0.32661448153846151</v>
      </c>
      <c r="E541">
        <f>1.08871493846154*(0.3)</f>
        <v>0.32661448153846151</v>
      </c>
      <c r="F541">
        <f>1.08871493846154*(0.3)</f>
        <v>0.32661448153846151</v>
      </c>
      <c r="G541">
        <f>0.653228963076923*(0.3)</f>
        <v>0.19596868892307689</v>
      </c>
      <c r="H541">
        <f>1.08871493846154*(0.3)</f>
        <v>0.32661448153846151</v>
      </c>
      <c r="I541">
        <f>1.08871493846154*(0.3)</f>
        <v>0.32661448153846151</v>
      </c>
      <c r="J541">
        <f>-0.217742987692308*(0.3)</f>
        <v>-6.532289630769228E-2</v>
      </c>
      <c r="K541">
        <f>1.08871493846154*(0.3)</f>
        <v>0.32661448153846151</v>
      </c>
      <c r="L541">
        <f>0.533470319846154*(0.3)</f>
        <v>0.16004109595384614</v>
      </c>
      <c r="M541">
        <f>1.19758643230769*(0.3)</f>
        <v>0.35927592969230771</v>
      </c>
      <c r="N541">
        <f>1.08871493846154*(0.3)</f>
        <v>0.32661448153846151</v>
      </c>
    </row>
    <row r="542" spans="1:14" x14ac:dyDescent="0.25">
      <c r="A542">
        <f>-1.386238835*(0.3)</f>
        <v>-0.41587165049999997</v>
      </c>
      <c r="B542">
        <f>0.106633756538462*(0.3)</f>
        <v>3.1990126961538461E-2</v>
      </c>
      <c r="C542">
        <f>0.319901269615385*(0.3)</f>
        <v>9.5970380884615389E-2</v>
      </c>
      <c r="D542">
        <f>0.106633756538462*(0.3)</f>
        <v>3.1990126961538461E-2</v>
      </c>
      <c r="E542">
        <f>0.106633756538462*(0.3)</f>
        <v>3.1990126961538461E-2</v>
      </c>
      <c r="F542">
        <f>0.106633756538462*(0.3)</f>
        <v>3.1990126961538461E-2</v>
      </c>
      <c r="G542">
        <f>0.0639802539230769*(0.3)</f>
        <v>1.9194076176923074E-2</v>
      </c>
      <c r="H542">
        <f>0.106633756538462*(0.3)</f>
        <v>3.1990126961538461E-2</v>
      </c>
      <c r="I542">
        <f>0.106633756538462*(0.3)</f>
        <v>3.1990126961538461E-2</v>
      </c>
      <c r="J542">
        <f>-0.0213267513076923*(0.3)</f>
        <v>-6.3980253923076906E-3</v>
      </c>
      <c r="K542">
        <f>0.106633756538462*(0.3)</f>
        <v>3.1990126961538461E-2</v>
      </c>
      <c r="L542">
        <f>0.0522505407038462*(0.3)</f>
        <v>1.5675162211153844E-2</v>
      </c>
      <c r="M542">
        <f>0.117297132192308*(0.3)</f>
        <v>3.5189139657692305E-2</v>
      </c>
      <c r="N542">
        <f>0.106633756538462*(0.3)</f>
        <v>3.1990126961538461E-2</v>
      </c>
    </row>
    <row r="543" spans="1:14" x14ac:dyDescent="0.25">
      <c r="A543">
        <f>-15.98878178*(0.3)</f>
        <v>-4.7966345339999998</v>
      </c>
      <c r="B543">
        <f>1.22990629076923*(0.3)</f>
        <v>0.36897188723076924</v>
      </c>
      <c r="C543">
        <f>3.68971887230769*(0.3)</f>
        <v>1.1069156616923077</v>
      </c>
      <c r="D543">
        <f>1.22990629076923*(0.3)</f>
        <v>0.36897188723076924</v>
      </c>
      <c r="E543">
        <f>1.22990629076923*(0.3)</f>
        <v>0.36897188723076924</v>
      </c>
      <c r="F543">
        <f>1.22990629076923*(0.3)</f>
        <v>0.36897188723076924</v>
      </c>
      <c r="G543">
        <f>0.737943774461538*(0.3)</f>
        <v>0.22138313233846155</v>
      </c>
      <c r="H543">
        <f>1.22990629076923*(0.3)</f>
        <v>0.36897188723076924</v>
      </c>
      <c r="I543">
        <f>1.22990629076923*(0.3)</f>
        <v>0.36897188723076924</v>
      </c>
      <c r="J543">
        <f>-0.245981258153846*(0.3)</f>
        <v>-7.379437744615383E-2</v>
      </c>
      <c r="K543">
        <f>1.22990629076923*(0.3)</f>
        <v>0.36897188723076924</v>
      </c>
      <c r="L543">
        <f>0.602654082476923*(0.3)</f>
        <v>0.18079622474307691</v>
      </c>
      <c r="M543">
        <f>1.35289691984615*(0.3)</f>
        <v>0.40586907595384619</v>
      </c>
      <c r="N543">
        <f>1.22990629076923*(0.3)</f>
        <v>0.36897188723076924</v>
      </c>
    </row>
    <row r="544" spans="1:14" x14ac:dyDescent="0.25">
      <c r="A544">
        <f>-2.768535946*(0.3)</f>
        <v>-0.83056078379999998</v>
      </c>
      <c r="B544">
        <f>0.212964303538462*(0.3)</f>
        <v>6.3889291061538456E-2</v>
      </c>
      <c r="C544">
        <f>0.638892910615385*(0.3)</f>
        <v>0.19166787318461539</v>
      </c>
      <c r="D544">
        <f>0.212964303538462*(0.3)</f>
        <v>6.3889291061538456E-2</v>
      </c>
      <c r="E544">
        <f>0.212964303538462*(0.3)</f>
        <v>6.3889291061538456E-2</v>
      </c>
      <c r="F544">
        <f>0.212964303538462*(0.3)</f>
        <v>6.3889291061538456E-2</v>
      </c>
      <c r="G544">
        <f>0.127778582123077*(0.3)</f>
        <v>3.8333574636923072E-2</v>
      </c>
      <c r="H544">
        <f>0.212964303538462*(0.3)</f>
        <v>6.3889291061538456E-2</v>
      </c>
      <c r="I544">
        <f>0.212964303538462*(0.3)</f>
        <v>6.3889291061538456E-2</v>
      </c>
      <c r="J544">
        <f>-0.0425928607076923*(0.3)</f>
        <v>-1.2777858212307688E-2</v>
      </c>
      <c r="K544">
        <f>0.212964303538462*(0.3)</f>
        <v>6.3889291061538456E-2</v>
      </c>
      <c r="L544">
        <f>0.104352508733846*(0.3)</f>
        <v>3.1305752620153844E-2</v>
      </c>
      <c r="M544">
        <f>0.234260733892308*(0.3)</f>
        <v>7.0278220167692321E-2</v>
      </c>
      <c r="N544">
        <f>0.212964303538462*(0.3)</f>
        <v>6.3889291061538456E-2</v>
      </c>
    </row>
    <row r="545" spans="1:14" x14ac:dyDescent="0.25">
      <c r="A545">
        <f>-7.968505813*(0.3)</f>
        <v>-2.3905517439000001</v>
      </c>
      <c r="B545">
        <f>0.612961985615385*(0.3)</f>
        <v>0.18388859568461538</v>
      </c>
      <c r="C545">
        <f>1.83888595684615*(0.3)</f>
        <v>0.55166578705384606</v>
      </c>
      <c r="D545">
        <f>0.612961985615385*(0.3)</f>
        <v>0.18388859568461538</v>
      </c>
      <c r="E545">
        <f>0.612961985615385*(0.3)</f>
        <v>0.18388859568461538</v>
      </c>
      <c r="F545">
        <f>0.612961985615385*(0.3)</f>
        <v>0.18388859568461538</v>
      </c>
      <c r="G545">
        <f>0.367777191369231*(0.3)</f>
        <v>0.11033315741076923</v>
      </c>
      <c r="H545">
        <f>0.612961985615385*(0.3)</f>
        <v>0.18388859568461538</v>
      </c>
      <c r="I545">
        <f>0.612961985615385*(0.3)</f>
        <v>0.18388859568461538</v>
      </c>
      <c r="J545">
        <f>-0.122592397123077*(0.3)</f>
        <v>-3.677771913692307E-2</v>
      </c>
      <c r="K545">
        <f>0.612961985615385*(0.3)</f>
        <v>0.18388859568461538</v>
      </c>
      <c r="L545">
        <f>0.300351372951538*(0.3)</f>
        <v>9.0105411885461534E-2</v>
      </c>
      <c r="M545">
        <f>0.674258184176923*(0.3)</f>
        <v>0.20227745525307694</v>
      </c>
      <c r="N545">
        <f>0.612961985615385*(0.3)</f>
        <v>0.18388859568461538</v>
      </c>
    </row>
    <row r="546" spans="1:14" x14ac:dyDescent="0.25">
      <c r="A546">
        <f>0.318014891*(0.3)</f>
        <v>9.5404467300000004E-2</v>
      </c>
      <c r="B546">
        <f>-0.0244626839230769*(0.3)</f>
        <v>-7.3388051769230772E-3</v>
      </c>
      <c r="C546">
        <f>-0.0733880517692308*(0.3)</f>
        <v>-2.2016415530769232E-2</v>
      </c>
      <c r="D546">
        <f>-0.0244626839230769*(0.3)</f>
        <v>-7.3388051769230772E-3</v>
      </c>
      <c r="E546">
        <f>-0.0244626839230769*(0.3)</f>
        <v>-7.3388051769230772E-3</v>
      </c>
      <c r="F546">
        <f>-0.0244626839230769*(0.3)</f>
        <v>-7.3388051769230772E-3</v>
      </c>
      <c r="G546">
        <f>-0.0146776103538462*(0.3)</f>
        <v>-4.4032831061538462E-3</v>
      </c>
      <c r="H546">
        <f>-0.0244626839230769*(0.3)</f>
        <v>-7.3388051769230772E-3</v>
      </c>
      <c r="I546">
        <f>-0.0244626839230769*(0.3)</f>
        <v>-7.3388051769230772E-3</v>
      </c>
      <c r="J546">
        <f>0.00489253678461538*(0.3)</f>
        <v>1.4677610353846153E-3</v>
      </c>
      <c r="K546">
        <f>-0.0244626839230769*(0.3)</f>
        <v>-7.3388051769230772E-3</v>
      </c>
      <c r="L546">
        <f>-0.0119867151223077*(0.3)</f>
        <v>-3.596014536692308E-3</v>
      </c>
      <c r="M546">
        <f>-0.0269089523153846*(0.3)</f>
        <v>-8.0726856946153856E-3</v>
      </c>
      <c r="N546">
        <f>-0.0244626839230769*(0.3)</f>
        <v>-7.3388051769230772E-3</v>
      </c>
    </row>
    <row r="547" spans="1:14" x14ac:dyDescent="0.25">
      <c r="A547">
        <f>-10.94188366*(0.3)</f>
        <v>-3.2825650980000001</v>
      </c>
      <c r="B547">
        <f>0.841683358461539*(0.3)</f>
        <v>0.25250500753846156</v>
      </c>
      <c r="C547">
        <f>2.52505007538462*(0.3)</f>
        <v>0.75751502261538473</v>
      </c>
      <c r="D547">
        <f>0.841683358461539*(0.3)</f>
        <v>0.25250500753846156</v>
      </c>
      <c r="E547">
        <f>0.841683358461539*(0.3)</f>
        <v>0.25250500753846156</v>
      </c>
      <c r="F547">
        <f>0.841683358461539*(0.3)</f>
        <v>0.25250500753846156</v>
      </c>
      <c r="G547">
        <f>0.505010015076923*(0.3)</f>
        <v>0.15150300452307694</v>
      </c>
      <c r="H547">
        <f>0.841683358461539*(0.3)</f>
        <v>0.25250500753846156</v>
      </c>
      <c r="I547">
        <f>0.841683358461539*(0.3)</f>
        <v>0.25250500753846156</v>
      </c>
      <c r="J547">
        <f>-0.168336671692308*(0.3)</f>
        <v>-5.0501001507692302E-2</v>
      </c>
      <c r="K547">
        <f>0.841683358461539*(0.3)</f>
        <v>0.25250500753846156</v>
      </c>
      <c r="L547">
        <f>0.412424845646154*(0.3)</f>
        <v>0.12372745369384616</v>
      </c>
      <c r="M547">
        <f>0.925851694307692*(0.3)</f>
        <v>0.27775550829230772</v>
      </c>
      <c r="N547">
        <f>0.841683358461539*(0.3)</f>
        <v>0.25250500753846156</v>
      </c>
    </row>
    <row r="548" spans="1:14" x14ac:dyDescent="0.25">
      <c r="A548">
        <f>2.833131672*(0.3)</f>
        <v>0.84993950159999998</v>
      </c>
      <c r="B548">
        <f>-0.217933205538462*(0.3)</f>
        <v>-6.5379961661538463E-2</v>
      </c>
      <c r="C548">
        <f>-0.653799616615385*(0.3)</f>
        <v>-0.1961398849846154</v>
      </c>
      <c r="D548">
        <f>-0.217933205538462*(0.3)</f>
        <v>-6.5379961661538463E-2</v>
      </c>
      <c r="E548">
        <f>-0.217933205538462*(0.3)</f>
        <v>-6.5379961661538463E-2</v>
      </c>
      <c r="F548">
        <f>-0.217933205538462*(0.3)</f>
        <v>-6.5379961661538463E-2</v>
      </c>
      <c r="G548">
        <f>-0.130759923323077*(0.3)</f>
        <v>-3.9227976996923077E-2</v>
      </c>
      <c r="H548">
        <f>-0.217933205538462*(0.3)</f>
        <v>-6.5379961661538463E-2</v>
      </c>
      <c r="I548">
        <f>-0.217933205538462*(0.3)</f>
        <v>-6.5379961661538463E-2</v>
      </c>
      <c r="J548">
        <f>0.0435866411076923*(0.3)</f>
        <v>1.307599233230769E-2</v>
      </c>
      <c r="K548">
        <f>-0.217933205538462*(0.3)</f>
        <v>-6.5379961661538463E-2</v>
      </c>
      <c r="L548">
        <f>-0.106787270713846*(0.3)</f>
        <v>-3.2036181214153844E-2</v>
      </c>
      <c r="M548">
        <f>-0.239726526092308*(0.3)</f>
        <v>-7.1917957827692308E-2</v>
      </c>
      <c r="N548">
        <f>-0.217933205538462*(0.3)</f>
        <v>-6.5379961661538463E-2</v>
      </c>
    </row>
    <row r="549" spans="1:14" x14ac:dyDescent="0.25">
      <c r="A549">
        <f>-13.24355718*(0.3)</f>
        <v>-3.9730671539999998</v>
      </c>
      <c r="B549">
        <f>1.01873516769231*(0.3)</f>
        <v>0.30562055030769231</v>
      </c>
      <c r="C549">
        <f>3.05620550307692*(0.3)</f>
        <v>0.91686165092307703</v>
      </c>
      <c r="D549">
        <f>1.01873516769231*(0.3)</f>
        <v>0.30562055030769231</v>
      </c>
      <c r="E549">
        <f>1.01873516769231*(0.3)</f>
        <v>0.30562055030769231</v>
      </c>
      <c r="F549">
        <f>1.01873516769231*(0.3)</f>
        <v>0.30562055030769231</v>
      </c>
      <c r="G549">
        <f>0.611241100615385*(0.3)</f>
        <v>0.18337233018461538</v>
      </c>
      <c r="H549">
        <f>1.01873516769231*(0.3)</f>
        <v>0.30562055030769231</v>
      </c>
      <c r="I549">
        <f>1.01873516769231*(0.3)</f>
        <v>0.30562055030769231</v>
      </c>
      <c r="J549">
        <f>-0.203747033538462*(0.3)</f>
        <v>-6.112411006153845E-2</v>
      </c>
      <c r="K549">
        <f>1.01873516769231*(0.3)</f>
        <v>0.30562055030769231</v>
      </c>
      <c r="L549">
        <f>0.499180232169231*(0.3)</f>
        <v>0.14975406965076923</v>
      </c>
      <c r="M549">
        <f>1.12060868446154*(0.3)</f>
        <v>0.33618260533846156</v>
      </c>
      <c r="N549">
        <f>1.01873516769231*(0.3)</f>
        <v>0.30562055030769231</v>
      </c>
    </row>
    <row r="550" spans="1:14" x14ac:dyDescent="0.25">
      <c r="A550">
        <f>0.739806126*(0.3)</f>
        <v>0.22194183779999999</v>
      </c>
      <c r="B550">
        <f>-0.0569081635384615*(0.3)</f>
        <v>-1.7072449061538462E-2</v>
      </c>
      <c r="C550">
        <f>-0.170724490615385*(0.3)</f>
        <v>-5.1217347184615382E-2</v>
      </c>
      <c r="D550">
        <f>-0.0569081635384615*(0.3)</f>
        <v>-1.7072449061538462E-2</v>
      </c>
      <c r="E550">
        <f>-0.0569081635384615*(0.3)</f>
        <v>-1.7072449061538462E-2</v>
      </c>
      <c r="F550">
        <f>-0.0569081635384615*(0.3)</f>
        <v>-1.7072449061538462E-2</v>
      </c>
      <c r="G550">
        <f>-0.0341448981230769*(0.3)</f>
        <v>-1.0243469436923077E-2</v>
      </c>
      <c r="H550">
        <f>-0.0569081635384615*(0.3)</f>
        <v>-1.7072449061538462E-2</v>
      </c>
      <c r="I550">
        <f>-0.0569081635384615*(0.3)</f>
        <v>-1.7072449061538462E-2</v>
      </c>
      <c r="J550">
        <f>0.0113816327076923*(0.3)</f>
        <v>3.4144898123076913E-3</v>
      </c>
      <c r="K550">
        <f>-0.0569081635384615*(0.3)</f>
        <v>-1.7072449061538462E-2</v>
      </c>
      <c r="L550">
        <f>-0.0278850001338462*(0.3)</f>
        <v>-8.3655000401538452E-3</v>
      </c>
      <c r="M550">
        <f>-0.0625989798923077*(0.3)</f>
        <v>-1.8779693967692308E-2</v>
      </c>
      <c r="N550">
        <f>-0.0569081635384615*(0.3)</f>
        <v>-1.7072449061538462E-2</v>
      </c>
    </row>
    <row r="551" spans="1:14" x14ac:dyDescent="0.25">
      <c r="A551">
        <f>-20.53572754*(0.3)</f>
        <v>-6.1607182619999996</v>
      </c>
      <c r="B551">
        <f>1.57967134923077*(0.3)</f>
        <v>0.47390140476923076</v>
      </c>
      <c r="C551">
        <f>4.73901404769231*(0.3)</f>
        <v>1.4217042143076923</v>
      </c>
      <c r="D551">
        <f>1.57967134923077*(0.3)</f>
        <v>0.47390140476923076</v>
      </c>
      <c r="E551">
        <f>1.57967134923077*(0.3)</f>
        <v>0.47390140476923076</v>
      </c>
      <c r="F551">
        <f>1.57967134923077*(0.3)</f>
        <v>0.47390140476923076</v>
      </c>
      <c r="G551">
        <f>0.947802809538462*(0.3)</f>
        <v>0.28434084286153843</v>
      </c>
      <c r="H551">
        <f>1.57967134923077*(0.3)</f>
        <v>0.47390140476923076</v>
      </c>
      <c r="I551">
        <f>1.57967134923077*(0.3)</f>
        <v>0.47390140476923076</v>
      </c>
      <c r="J551">
        <f>-0.315934269846154*(0.3)</f>
        <v>-9.4780280953846135E-2</v>
      </c>
      <c r="K551">
        <f>1.57967134923077*(0.3)</f>
        <v>0.47390140476923076</v>
      </c>
      <c r="L551">
        <f>0.774038961123077*(0.3)</f>
        <v>0.23221168833692307</v>
      </c>
      <c r="M551">
        <f>1.73763848415385*(0.3)</f>
        <v>0.52129154524615384</v>
      </c>
      <c r="N551">
        <f>1.57967134923077*(0.3)</f>
        <v>0.47390140476923076</v>
      </c>
    </row>
    <row r="552" spans="1:14" x14ac:dyDescent="0.25">
      <c r="A552">
        <f>1.599429711*(0.3)</f>
        <v>0.47982891329999999</v>
      </c>
      <c r="B552">
        <f>-0.123033054692308*(0.3)</f>
        <v>-3.6909916407692304E-2</v>
      </c>
      <c r="C552">
        <f>-0.369099164076923*(0.3)</f>
        <v>-0.11072974922307692</v>
      </c>
      <c r="D552">
        <f>-0.123033054692308*(0.3)</f>
        <v>-3.6909916407692304E-2</v>
      </c>
      <c r="E552">
        <f>-0.123033054692308*(0.3)</f>
        <v>-3.6909916407692304E-2</v>
      </c>
      <c r="F552">
        <f>-0.123033054692308*(0.3)</f>
        <v>-3.6909916407692304E-2</v>
      </c>
      <c r="G552">
        <f>-0.0738198328153846*(0.3)</f>
        <v>-2.2145949844615383E-2</v>
      </c>
      <c r="H552">
        <f>-0.123033054692308*(0.3)</f>
        <v>-3.6909916407692304E-2</v>
      </c>
      <c r="I552">
        <f>-0.123033054692308*(0.3)</f>
        <v>-3.6909916407692304E-2</v>
      </c>
      <c r="J552">
        <f>0.0246066109384615*(0.3)</f>
        <v>7.3819832815384592E-3</v>
      </c>
      <c r="K552">
        <f>-0.123033054692308*(0.3)</f>
        <v>-3.6909916407692304E-2</v>
      </c>
      <c r="L552">
        <f>-0.0602861967992308*(0.3)</f>
        <v>-1.8085859039769229E-2</v>
      </c>
      <c r="M552">
        <f>-0.135336360161538*(0.3)</f>
        <v>-4.0600908048461538E-2</v>
      </c>
      <c r="N552">
        <f>-0.123033054692308*(0.3)</f>
        <v>-3.6909916407692304E-2</v>
      </c>
    </row>
    <row r="553" spans="1:14" x14ac:dyDescent="0.25">
      <c r="A553">
        <f>-22.92618016*(0.3)</f>
        <v>-6.8778540480000006</v>
      </c>
      <c r="B553">
        <f>1.76355232*(0.3)</f>
        <v>0.52906569599999997</v>
      </c>
      <c r="C553">
        <f>5.29065696*(0.3)</f>
        <v>1.5871970879999999</v>
      </c>
      <c r="D553">
        <f>1.76355232*(0.3)</f>
        <v>0.52906569599999997</v>
      </c>
      <c r="E553">
        <f>1.76355232*(0.3)</f>
        <v>0.52906569599999997</v>
      </c>
      <c r="F553">
        <f>1.76355232*(0.3)</f>
        <v>0.52906569599999997</v>
      </c>
      <c r="G553">
        <f>1.058131392*(0.3)</f>
        <v>0.3174394176</v>
      </c>
      <c r="H553">
        <f>1.76355232*(0.3)</f>
        <v>0.52906569599999997</v>
      </c>
      <c r="I553">
        <f>1.76355232*(0.3)</f>
        <v>0.52906569599999997</v>
      </c>
      <c r="J553">
        <f>-0.352710464*(0.3)</f>
        <v>-0.10581313919999998</v>
      </c>
      <c r="K553">
        <f>1.76355232*(0.3)</f>
        <v>0.52906569599999997</v>
      </c>
      <c r="L553">
        <f>0.8641406368*(0.3)</f>
        <v>0.25924219103999996</v>
      </c>
      <c r="M553">
        <f>1.939907552*(0.3)</f>
        <v>0.58197226560000004</v>
      </c>
      <c r="N553">
        <f>1.76355232*(0.3)</f>
        <v>0.52906569599999997</v>
      </c>
    </row>
    <row r="554" spans="1:14" x14ac:dyDescent="0.25">
      <c r="A554">
        <f>2.979447608*(0.3)</f>
        <v>0.89383428239999996</v>
      </c>
      <c r="B554">
        <f>-0.229188277538462*(0.3)</f>
        <v>-6.8756483261538465E-2</v>
      </c>
      <c r="C554">
        <f>-0.687564832615385*(0.3)</f>
        <v>-0.20626944978461539</v>
      </c>
      <c r="D554">
        <f>-0.229188277538462*(0.3)</f>
        <v>-6.8756483261538465E-2</v>
      </c>
      <c r="E554">
        <f>-0.229188277538462*(0.3)</f>
        <v>-6.8756483261538465E-2</v>
      </c>
      <c r="F554">
        <f>-0.229188277538462*(0.3)</f>
        <v>-6.8756483261538465E-2</v>
      </c>
      <c r="G554">
        <f>-0.137512966523077*(0.3)</f>
        <v>-4.1253889956923077E-2</v>
      </c>
      <c r="H554">
        <f>-0.229188277538462*(0.3)</f>
        <v>-6.8756483261538465E-2</v>
      </c>
      <c r="I554">
        <f>-0.229188277538462*(0.3)</f>
        <v>-6.8756483261538465E-2</v>
      </c>
      <c r="J554">
        <f>0.0458376555076923*(0.3)</f>
        <v>1.375129665230769E-2</v>
      </c>
      <c r="K554">
        <f>-0.229188277538462*(0.3)</f>
        <v>-6.8756483261538465E-2</v>
      </c>
      <c r="L554">
        <f>-0.112302255993846*(0.3)</f>
        <v>-3.3690676798153844E-2</v>
      </c>
      <c r="M554">
        <f>-0.252107105292308*(0.3)</f>
        <v>-7.5632131587692317E-2</v>
      </c>
      <c r="N554">
        <f>-0.229188277538462*(0.3)</f>
        <v>-6.8756483261538465E-2</v>
      </c>
    </row>
    <row r="555" spans="1:14" x14ac:dyDescent="0.25">
      <c r="A555">
        <f>-26.67136023*(0.3)</f>
        <v>-8.001408069</v>
      </c>
      <c r="B555">
        <f>2.05164309461538*(0.3)</f>
        <v>0.61549292838461545</v>
      </c>
      <c r="C555">
        <f>6.15492928384615*(0.3)</f>
        <v>1.8464787851538462</v>
      </c>
      <c r="D555">
        <f>2.05164309461538*(0.3)</f>
        <v>0.61549292838461545</v>
      </c>
      <c r="E555">
        <f>2.05164309461538*(0.3)</f>
        <v>0.61549292838461545</v>
      </c>
      <c r="F555">
        <f>2.05164309461538*(0.3)</f>
        <v>0.61549292838461545</v>
      </c>
      <c r="G555">
        <f>1.23098585676923*(0.3)</f>
        <v>0.36929575703076928</v>
      </c>
      <c r="H555">
        <f>2.05164309461538*(0.3)</f>
        <v>0.61549292838461545</v>
      </c>
      <c r="I555">
        <f>2.05164309461538*(0.3)</f>
        <v>0.61549292838461545</v>
      </c>
      <c r="J555">
        <f>-0.410328618923077*(0.3)</f>
        <v>-0.12309858567692306</v>
      </c>
      <c r="K555">
        <f>2.05164309461538*(0.3)</f>
        <v>0.61549292838461545</v>
      </c>
      <c r="L555">
        <f>1.00530511636154*(0.3)</f>
        <v>0.30159153490846152</v>
      </c>
      <c r="M555">
        <f>2.25680740407692*(0.3)</f>
        <v>0.677042221223077</v>
      </c>
      <c r="N555">
        <f>2.05164309461538*(0.3)</f>
        <v>0.61549292838461545</v>
      </c>
    </row>
    <row r="556" spans="1:14" x14ac:dyDescent="0.25">
      <c r="A556">
        <f>-0.760641002*(0.3)</f>
        <v>-0.22819230059999998</v>
      </c>
      <c r="B556">
        <f>0.0585108463076923*(0.3)</f>
        <v>1.7553253892307691E-2</v>
      </c>
      <c r="C556">
        <f>0.175532538923077*(0.3)</f>
        <v>5.2659761676923073E-2</v>
      </c>
      <c r="D556">
        <f>0.0585108463076923*(0.3)</f>
        <v>1.7553253892307691E-2</v>
      </c>
      <c r="E556">
        <f>0.0585108463076923*(0.3)</f>
        <v>1.7553253892307691E-2</v>
      </c>
      <c r="F556">
        <f>0.0585108463076923*(0.3)</f>
        <v>1.7553253892307691E-2</v>
      </c>
      <c r="G556">
        <f>0.0351065077846154*(0.3)</f>
        <v>1.0531952335384615E-2</v>
      </c>
      <c r="H556">
        <f>0.0585108463076923*(0.3)</f>
        <v>1.7553253892307691E-2</v>
      </c>
      <c r="I556">
        <f>0.0585108463076923*(0.3)</f>
        <v>1.7553253892307691E-2</v>
      </c>
      <c r="J556">
        <f>-0.0117021692615385*(0.3)</f>
        <v>-3.5106507784615376E-3</v>
      </c>
      <c r="K556">
        <f>0.0585108463076923*(0.3)</f>
        <v>1.7553253892307691E-2</v>
      </c>
      <c r="L556">
        <f>0.0286703146907692*(0.3)</f>
        <v>8.6010944072307683E-3</v>
      </c>
      <c r="M556">
        <f>0.0643619309384615*(0.3)</f>
        <v>1.9308579281538462E-2</v>
      </c>
      <c r="N556">
        <f>0.0585108463076923*(0.3)</f>
        <v>1.7553253892307691E-2</v>
      </c>
    </row>
    <row r="557" spans="1:14" x14ac:dyDescent="0.25">
      <c r="A557">
        <f>-30.82078225*(0.3)</f>
        <v>-9.2462346750000002</v>
      </c>
      <c r="B557">
        <f>2.37082940384615*(0.3)</f>
        <v>0.71124882115384613</v>
      </c>
      <c r="C557">
        <f>7.11248821153846*(0.3)</f>
        <v>2.1337464634615384</v>
      </c>
      <c r="D557">
        <f>2.37082940384615*(0.3)</f>
        <v>0.71124882115384613</v>
      </c>
      <c r="E557">
        <f>2.37082940384615*(0.3)</f>
        <v>0.71124882115384613</v>
      </c>
      <c r="F557">
        <f>2.37082940384615*(0.3)</f>
        <v>0.71124882115384613</v>
      </c>
      <c r="G557">
        <f>1.42249764230769*(0.3)</f>
        <v>0.42674929269230766</v>
      </c>
      <c r="H557">
        <f>2.37082940384615*(0.3)</f>
        <v>0.71124882115384613</v>
      </c>
      <c r="I557">
        <f>2.37082940384615*(0.3)</f>
        <v>0.71124882115384613</v>
      </c>
      <c r="J557">
        <f>-0.474165880769231*(0.3)</f>
        <v>-0.14224976423076918</v>
      </c>
      <c r="K557">
        <f>2.37082940384615*(0.3)</f>
        <v>0.71124882115384613</v>
      </c>
      <c r="L557">
        <f>1.16170640788462*(0.3)</f>
        <v>0.34851192236538459</v>
      </c>
      <c r="M557">
        <f>2.60791234423077*(0.3)</f>
        <v>0.78237370326923084</v>
      </c>
      <c r="N557">
        <f>2.37082940384615*(0.3)</f>
        <v>0.71124882115384613</v>
      </c>
    </row>
    <row r="558" spans="1:14" x14ac:dyDescent="0.25">
      <c r="A558">
        <f>1.50244447*(0.3)</f>
        <v>0.45073334099999995</v>
      </c>
      <c r="B558">
        <f>-0.115572651538462*(0.3)</f>
        <v>-3.4671795461538459E-2</v>
      </c>
      <c r="C558">
        <f>-0.346717954615385*(0.3)</f>
        <v>-0.10401538638461538</v>
      </c>
      <c r="D558">
        <f>-0.115572651538462*(0.3)</f>
        <v>-3.4671795461538459E-2</v>
      </c>
      <c r="E558">
        <f>-0.115572651538462*(0.3)</f>
        <v>-3.4671795461538459E-2</v>
      </c>
      <c r="F558">
        <f>-0.115572651538462*(0.3)</f>
        <v>-3.4671795461538459E-2</v>
      </c>
      <c r="G558">
        <f>-0.0693435909230769*(0.3)</f>
        <v>-2.0803077276923074E-2</v>
      </c>
      <c r="H558">
        <f>-0.115572651538462*(0.3)</f>
        <v>-3.4671795461538459E-2</v>
      </c>
      <c r="I558">
        <f>-0.115572651538462*(0.3)</f>
        <v>-3.4671795461538459E-2</v>
      </c>
      <c r="J558">
        <f>0.0231145303076923*(0.3)</f>
        <v>6.9343590923076912E-3</v>
      </c>
      <c r="K558">
        <f>-0.115572651538462*(0.3)</f>
        <v>-3.4671795461538459E-2</v>
      </c>
      <c r="L558">
        <f>-0.0566305992538461*(0.3)</f>
        <v>-1.6989179776153843E-2</v>
      </c>
      <c r="M558">
        <f>-0.127129916692308*(0.3)</f>
        <v>-3.8138975007692304E-2</v>
      </c>
      <c r="N558">
        <f>-0.115572651538462*(0.3)</f>
        <v>-3.4671795461538459E-2</v>
      </c>
    </row>
    <row r="559" spans="1:14" x14ac:dyDescent="0.25">
      <c r="A559">
        <f>-34.02817138*(0.3)</f>
        <v>-10.208451414000001</v>
      </c>
      <c r="B559">
        <f>2.61755164461538*(0.3)</f>
        <v>0.78526549338461538</v>
      </c>
      <c r="C559">
        <f>7.85265493384615*(0.3)</f>
        <v>2.3557964801538462</v>
      </c>
      <c r="D559">
        <f>2.61755164461538*(0.3)</f>
        <v>0.78526549338461538</v>
      </c>
      <c r="E559">
        <f>2.61755164461538*(0.3)</f>
        <v>0.78526549338461538</v>
      </c>
      <c r="F559">
        <f>2.61755164461538*(0.3)</f>
        <v>0.78526549338461538</v>
      </c>
      <c r="G559">
        <f>1.57053098676923*(0.3)</f>
        <v>0.47115929603076923</v>
      </c>
      <c r="H559">
        <f>2.61755164461538*(0.3)</f>
        <v>0.78526549338461538</v>
      </c>
      <c r="I559">
        <f>2.61755164461538*(0.3)</f>
        <v>0.78526549338461538</v>
      </c>
      <c r="J559">
        <f>-0.523510328923077*(0.3)</f>
        <v>-0.15705309867692305</v>
      </c>
      <c r="K559">
        <f>2.61755164461538*(0.3)</f>
        <v>0.78526549338461538</v>
      </c>
      <c r="L559">
        <f>1.28260030586154*(0.3)</f>
        <v>0.38478009175846156</v>
      </c>
      <c r="M559">
        <f>2.87930680907692*(0.3)</f>
        <v>0.86379204272307697</v>
      </c>
      <c r="N559">
        <f>2.61755164461538*(0.3)</f>
        <v>0.78526549338461538</v>
      </c>
    </row>
    <row r="560" spans="1:14" x14ac:dyDescent="0.25">
      <c r="A560">
        <f>0.738980368*(0.3)</f>
        <v>0.22169411040000001</v>
      </c>
      <c r="B560">
        <f>-0.0568446436923077*(0.3)</f>
        <v>-1.7053393107692306E-2</v>
      </c>
      <c r="C560">
        <f>-0.170533931076923*(0.3)</f>
        <v>-5.1160179323076919E-2</v>
      </c>
      <c r="D560">
        <f>-0.0568446436923077*(0.3)</f>
        <v>-1.7053393107692306E-2</v>
      </c>
      <c r="E560">
        <f>-0.0568446436923077*(0.3)</f>
        <v>-1.7053393107692306E-2</v>
      </c>
      <c r="F560">
        <f>-0.0568446436923077*(0.3)</f>
        <v>-1.7053393107692306E-2</v>
      </c>
      <c r="G560">
        <f>-0.0341067862153846*(0.3)</f>
        <v>-1.0232035864615383E-2</v>
      </c>
      <c r="H560">
        <f>-0.0568446436923077*(0.3)</f>
        <v>-1.7053393107692306E-2</v>
      </c>
      <c r="I560">
        <f>-0.0568446436923077*(0.3)</f>
        <v>-1.7053393107692306E-2</v>
      </c>
      <c r="J560">
        <f>0.0113689287384615*(0.3)</f>
        <v>3.4106786215384603E-3</v>
      </c>
      <c r="K560">
        <f>-0.0568446436923077*(0.3)</f>
        <v>-1.7053393107692306E-2</v>
      </c>
      <c r="L560">
        <f>-0.0278538754092308*(0.3)</f>
        <v>-8.3561626227692306E-3</v>
      </c>
      <c r="M560">
        <f>-0.0625291080615385*(0.3)</f>
        <v>-1.875873241846154E-2</v>
      </c>
      <c r="N560">
        <f>-0.0568446436923077*(0.3)</f>
        <v>-1.7053393107692306E-2</v>
      </c>
    </row>
    <row r="561" spans="1:14" x14ac:dyDescent="0.25">
      <c r="A561">
        <f>-8.605637466*(0.3)</f>
        <v>-2.5816912397999996</v>
      </c>
      <c r="B561">
        <f>0.661972112769231*(0.3)</f>
        <v>0.19859163383076922</v>
      </c>
      <c r="C561">
        <f>1.98591633830769*(0.3)</f>
        <v>0.59577490149230761</v>
      </c>
      <c r="D561">
        <f>0.661972112769231*(0.3)</f>
        <v>0.19859163383076922</v>
      </c>
      <c r="E561">
        <f>0.661972112769231*(0.3)</f>
        <v>0.19859163383076922</v>
      </c>
      <c r="F561">
        <f>0.661972112769231*(0.3)</f>
        <v>0.19859163383076922</v>
      </c>
      <c r="G561">
        <f>0.397183267661538*(0.3)</f>
        <v>0.11915498029846153</v>
      </c>
      <c r="H561">
        <f>0.661972112769231*(0.3)</f>
        <v>0.19859163383076922</v>
      </c>
      <c r="I561">
        <f>0.661972112769231*(0.3)</f>
        <v>0.19859163383076922</v>
      </c>
      <c r="J561">
        <f>-0.132394422553846*(0.3)</f>
        <v>-3.9718326766153833E-2</v>
      </c>
      <c r="K561">
        <f>0.661972112769231*(0.3)</f>
        <v>0.19859163383076922</v>
      </c>
      <c r="L561">
        <f>0.324366335256923*(0.3)</f>
        <v>9.7309900577076905E-2</v>
      </c>
      <c r="M561">
        <f>0.728169324046154*(0.3)</f>
        <v>0.21845079721384617</v>
      </c>
      <c r="N561">
        <f>0.661972112769231*(0.3)</f>
        <v>0.19859163383076922</v>
      </c>
    </row>
    <row r="562" spans="1:14" x14ac:dyDescent="0.25">
      <c r="A562">
        <f>0.761416527*(0.3)</f>
        <v>0.22842495809999996</v>
      </c>
      <c r="B562">
        <f>-0.0585705020769231*(0.3)</f>
        <v>-1.7571150623076921E-2</v>
      </c>
      <c r="C562">
        <f>-0.175711506230769*(0.3)</f>
        <v>-5.2713451869230765E-2</v>
      </c>
      <c r="D562">
        <f>-0.0585705020769231*(0.3)</f>
        <v>-1.7571150623076921E-2</v>
      </c>
      <c r="E562">
        <f>-0.0585705020769231*(0.3)</f>
        <v>-1.7571150623076921E-2</v>
      </c>
      <c r="F562">
        <f>-0.0585705020769231*(0.3)</f>
        <v>-1.7571150623076921E-2</v>
      </c>
      <c r="G562">
        <f>-0.0351423012461538*(0.3)</f>
        <v>-1.0542690373846152E-2</v>
      </c>
      <c r="H562">
        <f>-0.0585705020769231*(0.3)</f>
        <v>-1.7571150623076921E-2</v>
      </c>
      <c r="I562">
        <f>-0.0585705020769231*(0.3)</f>
        <v>-1.7571150623076921E-2</v>
      </c>
      <c r="J562">
        <f>0.0117141004153846*(0.3)</f>
        <v>3.5142301246153832E-3</v>
      </c>
      <c r="K562">
        <f>-0.0585705020769231*(0.3)</f>
        <v>-1.7571150623076921E-2</v>
      </c>
      <c r="L562">
        <f>-0.0286995460176923*(0.3)</f>
        <v>-8.6098638053076909E-3</v>
      </c>
      <c r="M562">
        <f>-0.0644275522846154*(0.3)</f>
        <v>-1.9328265685384614E-2</v>
      </c>
      <c r="N562">
        <f>-0.0585705020769231*(0.3)</f>
        <v>-1.7571150623076921E-2</v>
      </c>
    </row>
    <row r="563" spans="1:14" x14ac:dyDescent="0.25">
      <c r="A563">
        <f>-12.28388736*(0.3)</f>
        <v>-3.6851662079999996</v>
      </c>
      <c r="B563">
        <f>0.944914412307692*(0.3)</f>
        <v>0.28347432369230768</v>
      </c>
      <c r="C563">
        <f>2.83474323692308*(0.3)</f>
        <v>0.850422971076923</v>
      </c>
      <c r="D563">
        <f>0.944914412307692*(0.3)</f>
        <v>0.28347432369230768</v>
      </c>
      <c r="E563">
        <f>0.944914412307692*(0.3)</f>
        <v>0.28347432369230768</v>
      </c>
      <c r="F563">
        <f>0.944914412307692*(0.3)</f>
        <v>0.28347432369230768</v>
      </c>
      <c r="G563">
        <f>0.566948647384615*(0.3)</f>
        <v>0.1700845942153846</v>
      </c>
      <c r="H563">
        <f>0.944914412307692*(0.3)</f>
        <v>0.28347432369230768</v>
      </c>
      <c r="I563">
        <f>0.944914412307692*(0.3)</f>
        <v>0.28347432369230768</v>
      </c>
      <c r="J563">
        <f>-0.188982882461538*(0.3)</f>
        <v>-5.6694864738461519E-2</v>
      </c>
      <c r="K563">
        <f>0.944914412307692*(0.3)</f>
        <v>0.28347432369230768</v>
      </c>
      <c r="L563">
        <f>0.463008062030769*(0.3)</f>
        <v>0.13890241860923075</v>
      </c>
      <c r="M563">
        <f>1.03940585353846*(0.3)</f>
        <v>0.31182175606153845</v>
      </c>
      <c r="N563">
        <f>0.944914412307692*(0.3)</f>
        <v>0.28347432369230768</v>
      </c>
    </row>
    <row r="564" spans="1:14" x14ac:dyDescent="0.25">
      <c r="A564">
        <f>-0.277907821*(0.3)</f>
        <v>-8.3372346299999997E-2</v>
      </c>
      <c r="B564">
        <f>0.0213775246923077*(0.3)</f>
        <v>6.4132574076923073E-3</v>
      </c>
      <c r="C564">
        <f>0.0641325740769231*(0.3)</f>
        <v>1.9239772223076924E-2</v>
      </c>
      <c r="D564">
        <f>0.0213775246923077*(0.3)</f>
        <v>6.4132574076923073E-3</v>
      </c>
      <c r="E564">
        <f>0.0213775246923077*(0.3)</f>
        <v>6.4132574076923073E-3</v>
      </c>
      <c r="F564">
        <f>0.0213775246923077*(0.3)</f>
        <v>6.4132574076923073E-3</v>
      </c>
      <c r="G564">
        <f>0.0128265148153846*(0.3)</f>
        <v>3.8479544446153842E-3</v>
      </c>
      <c r="H564">
        <f>0.0213775246923077*(0.3)</f>
        <v>6.4132574076923073E-3</v>
      </c>
      <c r="I564">
        <f>0.0213775246923077*(0.3)</f>
        <v>6.4132574076923073E-3</v>
      </c>
      <c r="J564">
        <f>-0.00427550493846154*(0.3)</f>
        <v>-1.2826514815384613E-3</v>
      </c>
      <c r="K564">
        <f>0.0213775246923077*(0.3)</f>
        <v>6.4132574076923073E-3</v>
      </c>
      <c r="L564">
        <f>0.0104749870992308*(0.3)</f>
        <v>3.1424961297692308E-3</v>
      </c>
      <c r="M564">
        <f>0.0235152771615385*(0.3)</f>
        <v>7.0545831484615388E-3</v>
      </c>
      <c r="N564">
        <f>0.0213775246923077*(0.3)</f>
        <v>6.4132574076923073E-3</v>
      </c>
    </row>
    <row r="565" spans="1:14" x14ac:dyDescent="0.25">
      <c r="A565">
        <f>-14.73567948*(0.3)</f>
        <v>-4.4207038440000002</v>
      </c>
      <c r="B565">
        <f>1.13351380615385*(0.3)</f>
        <v>0.34005414184615385</v>
      </c>
      <c r="C565">
        <f>3.40054141846154*(0.3)</f>
        <v>1.0201624255384614</v>
      </c>
      <c r="D565">
        <f>1.13351380615385*(0.3)</f>
        <v>0.34005414184615385</v>
      </c>
      <c r="E565">
        <f>1.13351380615385*(0.3)</f>
        <v>0.34005414184615385</v>
      </c>
      <c r="F565">
        <f>1.13351380615385*(0.3)</f>
        <v>0.34005414184615385</v>
      </c>
      <c r="G565">
        <f>0.680108283692308*(0.3)</f>
        <v>0.20403248510769231</v>
      </c>
      <c r="H565">
        <f>1.13351380615385*(0.3)</f>
        <v>0.34005414184615385</v>
      </c>
      <c r="I565">
        <f>1.13351380615385*(0.3)</f>
        <v>0.34005414184615385</v>
      </c>
      <c r="J565">
        <f>-0.226702761230769*(0.3)</f>
        <v>-6.8010828369230752E-2</v>
      </c>
      <c r="K565">
        <f>1.13351380615385*(0.3)</f>
        <v>0.34005414184615385</v>
      </c>
      <c r="L565">
        <f>0.555421765015385*(0.3)</f>
        <v>0.16662652950461534</v>
      </c>
      <c r="M565">
        <f>1.24686518676923*(0.3)</f>
        <v>0.37405955603076924</v>
      </c>
      <c r="N565">
        <f>1.13351380615385*(0.3)</f>
        <v>0.34005414184615385</v>
      </c>
    </row>
    <row r="566" spans="1:14" x14ac:dyDescent="0.25">
      <c r="A566">
        <f>-1.135727943*(0.3)</f>
        <v>-0.34071838290000001</v>
      </c>
      <c r="B566">
        <f>0.0873636879230769*(0.3)</f>
        <v>2.6209106376923079E-2</v>
      </c>
      <c r="C566">
        <f>0.262091063769231*(0.3)</f>
        <v>7.8627319130769244E-2</v>
      </c>
      <c r="D566">
        <f>0.0873636879230769*(0.3)</f>
        <v>2.6209106376923079E-2</v>
      </c>
      <c r="E566">
        <f>0.0873636879230769*(0.3)</f>
        <v>2.6209106376923079E-2</v>
      </c>
      <c r="F566">
        <f>0.0873636879230769*(0.3)</f>
        <v>2.6209106376923079E-2</v>
      </c>
      <c r="G566">
        <f>0.0524182127538462*(0.3)</f>
        <v>1.5725463826153845E-2</v>
      </c>
      <c r="H566">
        <f>0.0873636879230769*(0.3)</f>
        <v>2.6209106376923079E-2</v>
      </c>
      <c r="I566">
        <f>0.0873636879230769*(0.3)</f>
        <v>2.6209106376923079E-2</v>
      </c>
      <c r="J566">
        <f>-0.0174727375846154*(0.3)</f>
        <v>-5.2418212753846142E-3</v>
      </c>
      <c r="K566">
        <f>0.0873636879230769*(0.3)</f>
        <v>2.6209106376923079E-2</v>
      </c>
      <c r="L566">
        <f>0.0428082070823077*(0.3)</f>
        <v>1.2842462124692309E-2</v>
      </c>
      <c r="M566">
        <f>0.0961000567153846*(0.3)</f>
        <v>2.8830017014615388E-2</v>
      </c>
      <c r="N566">
        <f>0.0873636879230769*(0.3)</f>
        <v>2.6209106376923079E-2</v>
      </c>
    </row>
    <row r="567" spans="1:14" x14ac:dyDescent="0.25">
      <c r="A567">
        <f>-18.13886365*(0.3)</f>
        <v>-5.4416590950000003</v>
      </c>
      <c r="B567">
        <f>1.39529720384615*(0.3)</f>
        <v>0.4185891611538462</v>
      </c>
      <c r="C567">
        <f>4.18589161153846*(0.3)</f>
        <v>1.2557674834615387</v>
      </c>
      <c r="D567">
        <f>1.39529720384615*(0.3)</f>
        <v>0.4185891611538462</v>
      </c>
      <c r="E567">
        <f>1.39529720384615*(0.3)</f>
        <v>0.4185891611538462</v>
      </c>
      <c r="F567">
        <f>1.39529720384615*(0.3)</f>
        <v>0.4185891611538462</v>
      </c>
      <c r="G567">
        <f>0.837178322307692*(0.3)</f>
        <v>0.25115349669230769</v>
      </c>
      <c r="H567">
        <f>1.39529720384615*(0.3)</f>
        <v>0.4185891611538462</v>
      </c>
      <c r="I567">
        <f>1.39529720384615*(0.3)</f>
        <v>0.4185891611538462</v>
      </c>
      <c r="J567">
        <f>-0.279059440769231*(0.3)</f>
        <v>-8.3717832230769215E-2</v>
      </c>
      <c r="K567">
        <f>1.39529720384615*(0.3)</f>
        <v>0.4185891611538462</v>
      </c>
      <c r="L567">
        <f>0.683695629884615*(0.3)</f>
        <v>0.20510868896538462</v>
      </c>
      <c r="M567">
        <f>1.53482692423077*(0.3)</f>
        <v>0.46044807726923082</v>
      </c>
      <c r="N567">
        <f>1.39529720384615*(0.3)</f>
        <v>0.4185891611538462</v>
      </c>
    </row>
    <row r="568" spans="1:14" x14ac:dyDescent="0.25">
      <c r="A568">
        <f>-1.023989737*(0.3)</f>
        <v>-0.30719692109999996</v>
      </c>
      <c r="B568">
        <f>0.0787684413076923*(0.3)</f>
        <v>2.3630532392307693E-2</v>
      </c>
      <c r="C568">
        <f>0.236305323923077*(0.3)</f>
        <v>7.0891597176923074E-2</v>
      </c>
      <c r="D568">
        <f>0.0787684413076923*(0.3)</f>
        <v>2.3630532392307693E-2</v>
      </c>
      <c r="E568">
        <f>0.0787684413076923*(0.3)</f>
        <v>2.3630532392307693E-2</v>
      </c>
      <c r="F568">
        <f>0.0787684413076923*(0.3)</f>
        <v>2.3630532392307693E-2</v>
      </c>
      <c r="G568">
        <f>0.0472610647846154*(0.3)</f>
        <v>1.4178319435384616E-2</v>
      </c>
      <c r="H568">
        <f>0.0787684413076923*(0.3)</f>
        <v>2.3630532392307693E-2</v>
      </c>
      <c r="I568">
        <f>0.0787684413076923*(0.3)</f>
        <v>2.3630532392307693E-2</v>
      </c>
      <c r="J568">
        <f>-0.0157536882615385*(0.3)</f>
        <v>-4.7261064784615376E-3</v>
      </c>
      <c r="K568">
        <f>0.0787684413076923*(0.3)</f>
        <v>2.3630532392307693E-2</v>
      </c>
      <c r="L568">
        <f>0.0385965362407692*(0.3)</f>
        <v>1.157896087223077E-2</v>
      </c>
      <c r="M568">
        <f>0.0866452854384615*(0.3)</f>
        <v>2.5993585631538463E-2</v>
      </c>
      <c r="N568">
        <f>0.0787684413076923*(0.3)</f>
        <v>2.3630532392307693E-2</v>
      </c>
    </row>
    <row r="569" spans="1:14" x14ac:dyDescent="0.25">
      <c r="A569">
        <f>-25.51763429*(0.3)</f>
        <v>-7.6552902869999997</v>
      </c>
      <c r="B569">
        <f>1.96289494538462*(0.3)</f>
        <v>0.58886848361538457</v>
      </c>
      <c r="C569">
        <f>5.88868483615385*(0.3)</f>
        <v>1.7666054508461537</v>
      </c>
      <c r="D569">
        <f>1.96289494538462*(0.3)</f>
        <v>0.58886848361538457</v>
      </c>
      <c r="E569">
        <f>1.96289494538462*(0.3)</f>
        <v>0.58886848361538457</v>
      </c>
      <c r="F569">
        <f>1.96289494538462*(0.3)</f>
        <v>0.58886848361538457</v>
      </c>
      <c r="G569">
        <f>1.17773696723077*(0.3)</f>
        <v>0.35332109016923074</v>
      </c>
      <c r="H569">
        <f>1.96289494538462*(0.3)</f>
        <v>0.58886848361538457</v>
      </c>
      <c r="I569">
        <f>1.96289494538462*(0.3)</f>
        <v>0.58886848361538457</v>
      </c>
      <c r="J569">
        <f>-0.392578989076923*(0.3)</f>
        <v>-0.1177736967230769</v>
      </c>
      <c r="K569">
        <f>1.96289494538462*(0.3)</f>
        <v>0.58886848361538457</v>
      </c>
      <c r="L569">
        <f>0.961818523238462*(0.3)</f>
        <v>0.28854555697153844</v>
      </c>
      <c r="M569">
        <f>2.15918443992308*(0.3)</f>
        <v>0.64775533197692314</v>
      </c>
      <c r="N569">
        <f>1.96289494538462*(0.3)</f>
        <v>0.58886848361538457</v>
      </c>
    </row>
    <row r="570" spans="1:14" x14ac:dyDescent="0.25">
      <c r="A570">
        <f>0.859601232*(0.3)</f>
        <v>0.25788036959999999</v>
      </c>
      <c r="B570">
        <f>-0.0661231716923077*(0.3)</f>
        <v>-1.9836951507692307E-2</v>
      </c>
      <c r="C570">
        <f>-0.198369515076923*(0.3)</f>
        <v>-5.9510854523076917E-2</v>
      </c>
      <c r="D570">
        <f>-0.0661231716923077*(0.3)</f>
        <v>-1.9836951507692307E-2</v>
      </c>
      <c r="E570">
        <f>-0.0661231716923077*(0.3)</f>
        <v>-1.9836951507692307E-2</v>
      </c>
      <c r="F570">
        <f>-0.0661231716923077*(0.3)</f>
        <v>-1.9836951507692307E-2</v>
      </c>
      <c r="G570">
        <f>-0.0396739030153846*(0.3)</f>
        <v>-1.1902170904615384E-2</v>
      </c>
      <c r="H570">
        <f>-0.0661231716923077*(0.3)</f>
        <v>-1.9836951507692307E-2</v>
      </c>
      <c r="I570">
        <f>-0.0661231716923077*(0.3)</f>
        <v>-1.9836951507692307E-2</v>
      </c>
      <c r="J570">
        <f>0.0132246343384615*(0.3)</f>
        <v>3.9673903015384603E-3</v>
      </c>
      <c r="K570">
        <f>-0.0661231716923077*(0.3)</f>
        <v>-1.9836951507692307E-2</v>
      </c>
      <c r="L570">
        <f>-0.0324003541292308*(0.3)</f>
        <v>-9.720106238769231E-3</v>
      </c>
      <c r="M570">
        <f>-0.0727354888615385*(0.3)</f>
        <v>-2.1820646658461538E-2</v>
      </c>
      <c r="N570">
        <f>-0.0661231716923077*(0.3)</f>
        <v>-1.9836951507692307E-2</v>
      </c>
    </row>
    <row r="571" spans="1:14" x14ac:dyDescent="0.25">
      <c r="A571">
        <f>-29.89050245*(0.3)</f>
        <v>-8.9671507349999988</v>
      </c>
      <c r="B571">
        <f>2.29926941923077*(0.3)</f>
        <v>0.68978082576923072</v>
      </c>
      <c r="C571">
        <f>6.89780825769231*(0.3)</f>
        <v>2.0693424773076918</v>
      </c>
      <c r="D571">
        <f>2.29926941923077*(0.3)</f>
        <v>0.68978082576923072</v>
      </c>
      <c r="E571">
        <f>2.29926941923077*(0.3)</f>
        <v>0.68978082576923072</v>
      </c>
      <c r="F571">
        <f>2.29926941923077*(0.3)</f>
        <v>0.68978082576923072</v>
      </c>
      <c r="G571">
        <f>1.37956165153846*(0.3)</f>
        <v>0.41386849546153842</v>
      </c>
      <c r="H571">
        <f>2.29926941923077*(0.3)</f>
        <v>0.68978082576923072</v>
      </c>
      <c r="I571">
        <f>2.29926941923077*(0.3)</f>
        <v>0.68978082576923072</v>
      </c>
      <c r="J571">
        <f>-0.459853883846154*(0.3)</f>
        <v>-0.13795616515384612</v>
      </c>
      <c r="K571">
        <f>2.29926941923077*(0.3)</f>
        <v>0.68978082576923072</v>
      </c>
      <c r="L571">
        <f>1.12664201542308*(0.3)</f>
        <v>0.33799260462692299</v>
      </c>
      <c r="M571">
        <f>2.52919636115385*(0.3)</f>
        <v>0.75875890834615378</v>
      </c>
      <c r="N571">
        <f>2.29926941923077*(0.3)</f>
        <v>0.68978082576923072</v>
      </c>
    </row>
    <row r="572" spans="1:14" x14ac:dyDescent="0.25">
      <c r="A572">
        <f>1.219516444*(0.3)</f>
        <v>0.36585493319999995</v>
      </c>
      <c r="B572">
        <f>-0.0938089572307692*(0.3)</f>
        <v>-2.8142687169230764E-2</v>
      </c>
      <c r="C572">
        <f>-0.281426871692308*(0.3)</f>
        <v>-8.4428061507692304E-2</v>
      </c>
      <c r="D572">
        <f>-0.0938089572307692*(0.3)</f>
        <v>-2.8142687169230764E-2</v>
      </c>
      <c r="E572">
        <f>-0.0938089572307692*(0.3)</f>
        <v>-2.8142687169230764E-2</v>
      </c>
      <c r="F572">
        <f>-0.0938089572307692*(0.3)</f>
        <v>-2.8142687169230764E-2</v>
      </c>
      <c r="G572">
        <f>-0.0562853743384615*(0.3)</f>
        <v>-1.6885612301538459E-2</v>
      </c>
      <c r="H572">
        <f>-0.0938089572307692*(0.3)</f>
        <v>-2.8142687169230764E-2</v>
      </c>
      <c r="I572">
        <f>-0.0938089572307692*(0.3)</f>
        <v>-2.8142687169230764E-2</v>
      </c>
      <c r="J572">
        <f>0.0187617914461538*(0.3)</f>
        <v>5.628537433846152E-3</v>
      </c>
      <c r="K572">
        <f>-0.0938089572307692*(0.3)</f>
        <v>-2.8142687169230764E-2</v>
      </c>
      <c r="L572">
        <f>-0.0459663890430769*(0.3)</f>
        <v>-1.3789916712923076E-2</v>
      </c>
      <c r="M572">
        <f>-0.103189852953846*(0.3)</f>
        <v>-3.0956955886153846E-2</v>
      </c>
      <c r="N572">
        <f>-0.0938089572307692*(0.3)</f>
        <v>-2.8142687169230764E-2</v>
      </c>
    </row>
    <row r="573" spans="1:14" x14ac:dyDescent="0.25">
      <c r="A573">
        <f>-31.54185344*(0.3)</f>
        <v>-9.4625560320000002</v>
      </c>
      <c r="B573">
        <f>2.42629641846154*(0.3)</f>
        <v>0.72788892553846152</v>
      </c>
      <c r="C573">
        <f>7.27888925538462*(0.3)</f>
        <v>2.1836667766153846</v>
      </c>
      <c r="D573">
        <f>2.42629641846154*(0.3)</f>
        <v>0.72788892553846152</v>
      </c>
      <c r="E573">
        <f>2.42629641846154*(0.3)</f>
        <v>0.72788892553846152</v>
      </c>
      <c r="F573">
        <f>2.42629641846154*(0.3)</f>
        <v>0.72788892553846152</v>
      </c>
      <c r="G573">
        <f>1.45577785107692*(0.3)</f>
        <v>0.43673335532307689</v>
      </c>
      <c r="H573">
        <f>2.42629641846154*(0.3)</f>
        <v>0.72788892553846152</v>
      </c>
      <c r="I573">
        <f>2.42629641846154*(0.3)</f>
        <v>0.72788892553846152</v>
      </c>
      <c r="J573">
        <f>-0.485259283692308*(0.3)</f>
        <v>-0.14557778510769226</v>
      </c>
      <c r="K573">
        <f>2.42629641846154*(0.3)</f>
        <v>0.72788892553846152</v>
      </c>
      <c r="L573">
        <f>1.18888524504615*(0.3)</f>
        <v>0.35666557351384615</v>
      </c>
      <c r="M573">
        <f>2.66892606030769*(0.3)</f>
        <v>0.80067781809230776</v>
      </c>
      <c r="N573">
        <f>2.42629641846154*(0.3)</f>
        <v>0.72788892553846152</v>
      </c>
    </row>
    <row r="574" spans="1:14" x14ac:dyDescent="0.25">
      <c r="A574">
        <f>0.341113751*(0.3)</f>
        <v>0.10233412530000001</v>
      </c>
      <c r="B574">
        <f>-0.0262395193076923*(0.3)</f>
        <v>-7.8718557923076922E-3</v>
      </c>
      <c r="C574">
        <f>-0.0787185579230769*(0.3)</f>
        <v>-2.3615567376923077E-2</v>
      </c>
      <c r="D574">
        <f>-0.0262395193076923*(0.3)</f>
        <v>-7.8718557923076922E-3</v>
      </c>
      <c r="E574">
        <f>-0.0262395193076923*(0.3)</f>
        <v>-7.8718557923076922E-3</v>
      </c>
      <c r="F574">
        <f>-0.0262395193076923*(0.3)</f>
        <v>-7.8718557923076922E-3</v>
      </c>
      <c r="G574">
        <f>-0.0157437115846154*(0.3)</f>
        <v>-4.7231134753846155E-3</v>
      </c>
      <c r="H574">
        <f>-0.0262395193076923*(0.3)</f>
        <v>-7.8718557923076922E-3</v>
      </c>
      <c r="I574">
        <f>-0.0262395193076923*(0.3)</f>
        <v>-7.8718557923076922E-3</v>
      </c>
      <c r="J574">
        <f>0.00524790386153846*(0.3)</f>
        <v>1.5743711584615381E-3</v>
      </c>
      <c r="K574">
        <f>-0.0262395193076923*(0.3)</f>
        <v>-7.8718557923076922E-3</v>
      </c>
      <c r="L574">
        <f>-0.0128573644607692*(0.3)</f>
        <v>-3.8572093382307692E-3</v>
      </c>
      <c r="M574">
        <f>-0.0288634712384615*(0.3)</f>
        <v>-8.6590413715384625E-3</v>
      </c>
      <c r="N574">
        <f>-0.0262395193076923*(0.3)</f>
        <v>-7.8718557923076922E-3</v>
      </c>
    </row>
    <row r="575" spans="1:14" x14ac:dyDescent="0.25">
      <c r="A575">
        <f>-41.05835111*(0.3)</f>
        <v>-12.317505332999998</v>
      </c>
      <c r="B575">
        <f>3.15833470076923*(0.3)</f>
        <v>0.94750041023076914</v>
      </c>
      <c r="C575">
        <f>9.47500410230769*(0.3)</f>
        <v>2.8425012306923074</v>
      </c>
      <c r="D575">
        <f>3.15833470076923*(0.3)</f>
        <v>0.94750041023076914</v>
      </c>
      <c r="E575">
        <f>3.15833470076923*(0.3)</f>
        <v>0.94750041023076914</v>
      </c>
      <c r="F575">
        <f>3.15833470076923*(0.3)</f>
        <v>0.94750041023076914</v>
      </c>
      <c r="G575">
        <f>1.89500082046154*(0.3)</f>
        <v>0.56850024613846151</v>
      </c>
      <c r="H575">
        <f>3.15833470076923*(0.3)</f>
        <v>0.94750041023076914</v>
      </c>
      <c r="I575">
        <f>3.15833470076923*(0.3)</f>
        <v>0.94750041023076914</v>
      </c>
      <c r="J575">
        <f>-0.631666940153846*(0.3)</f>
        <v>-0.18950008204615379</v>
      </c>
      <c r="K575">
        <f>3.15833470076923*(0.3)</f>
        <v>0.94750041023076914</v>
      </c>
      <c r="L575">
        <f>1.54758400337692*(0.3)</f>
        <v>0.4642752010130769</v>
      </c>
      <c r="M575">
        <f>3.47416817084615*(0.3)</f>
        <v>1.0422504512538462</v>
      </c>
      <c r="N575">
        <f>3.15833470076923*(0.3)</f>
        <v>0.94750041023076914</v>
      </c>
    </row>
    <row r="576" spans="1:14" x14ac:dyDescent="0.25">
      <c r="A576">
        <f>0.967585777*(0.3)</f>
        <v>0.29027573309999999</v>
      </c>
      <c r="B576">
        <f>-0.0744296751538462*(0.3)</f>
        <v>-2.2328902546153846E-2</v>
      </c>
      <c r="C576">
        <f>-0.223289025461538*(0.3)</f>
        <v>-6.698670763846154E-2</v>
      </c>
      <c r="D576">
        <f>-0.0744296751538462*(0.3)</f>
        <v>-2.2328902546153846E-2</v>
      </c>
      <c r="E576">
        <f>-0.0744296751538462*(0.3)</f>
        <v>-2.2328902546153846E-2</v>
      </c>
      <c r="F576">
        <f>-0.0744296751538462*(0.3)</f>
        <v>-2.2328902546153846E-2</v>
      </c>
      <c r="G576">
        <f>-0.0446578050923077*(0.3)</f>
        <v>-1.3397341527692307E-2</v>
      </c>
      <c r="H576">
        <f>-0.0744296751538462*(0.3)</f>
        <v>-2.2328902546153846E-2</v>
      </c>
      <c r="I576">
        <f>-0.0744296751538462*(0.3)</f>
        <v>-2.2328902546153846E-2</v>
      </c>
      <c r="J576">
        <f>0.0148859350307692*(0.3)</f>
        <v>4.4657805092307686E-3</v>
      </c>
      <c r="K576">
        <f>-0.0744296751538462*(0.3)</f>
        <v>-2.2328902546153846E-2</v>
      </c>
      <c r="L576">
        <f>-0.0364705408253846*(0.3)</f>
        <v>-1.0941162247615386E-2</v>
      </c>
      <c r="M576">
        <f>-0.0818726426692308*(0.3)</f>
        <v>-2.4561792800769231E-2</v>
      </c>
      <c r="N576">
        <f>-0.0744296751538462*(0.3)</f>
        <v>-2.2328902546153846E-2</v>
      </c>
    </row>
    <row r="577" spans="1:14" x14ac:dyDescent="0.25">
      <c r="A577">
        <f>44.46597202*(0.3)</f>
        <v>13.339791606</v>
      </c>
      <c r="B577">
        <f>-3.42045938615385*(0.3)</f>
        <v>-1.0261378158461538</v>
      </c>
      <c r="C577">
        <f>-10.2613781584615*(0.3)</f>
        <v>-3.0784134475384617</v>
      </c>
      <c r="D577">
        <f>-3.42045938615385*(0.3)</f>
        <v>-1.0261378158461538</v>
      </c>
      <c r="E577">
        <f>-3.42045938615385*(0.3)</f>
        <v>-1.0261378158461538</v>
      </c>
      <c r="F577">
        <f>-3.42045938615385*(0.3)</f>
        <v>-1.0261378158461538</v>
      </c>
      <c r="G577">
        <f>-2.05227563169231*(0.3)</f>
        <v>-0.61568268950769223</v>
      </c>
      <c r="H577">
        <f>-3.42045938615385*(0.3)</f>
        <v>-1.0261378158461538</v>
      </c>
      <c r="I577">
        <f>-3.42045938615385*(0.3)</f>
        <v>-1.0261378158461538</v>
      </c>
      <c r="J577">
        <f>0.684091877230769*(0.3)</f>
        <v>0.20522756316923074</v>
      </c>
      <c r="K577">
        <f>-3.42045938615385*(0.3)</f>
        <v>-1.0261378158461538</v>
      </c>
      <c r="L577">
        <f>-1.67602509921538*(0.3)</f>
        <v>-0.5028075297646154</v>
      </c>
      <c r="M577">
        <f>-3.76250532476923*(0.3)</f>
        <v>-1.1287515974307694</v>
      </c>
      <c r="N577">
        <f>-3.42045938615385*(0.3)</f>
        <v>-1.0261378158461538</v>
      </c>
    </row>
    <row r="578" spans="1:14" x14ac:dyDescent="0.25">
      <c r="A578">
        <f>780.384294*(0.3)</f>
        <v>234.11528819999998</v>
      </c>
      <c r="B578">
        <f>-60.0295610769231*(0.3)</f>
        <v>-18.008868323076921</v>
      </c>
      <c r="C578">
        <f>-180.088683230769*(0.3)</f>
        <v>-54.026604969230767</v>
      </c>
      <c r="D578">
        <f>-60.0295610769231*(0.3)</f>
        <v>-18.008868323076921</v>
      </c>
      <c r="E578">
        <f>-60.0295610769231*(0.3)</f>
        <v>-18.008868323076921</v>
      </c>
      <c r="F578">
        <f>-60.0295610769231*(0.3)</f>
        <v>-18.008868323076921</v>
      </c>
      <c r="G578">
        <f>-36.0177366461538*(0.3)</f>
        <v>-10.805320993846152</v>
      </c>
      <c r="H578">
        <f>-60.0295610769231*(0.3)</f>
        <v>-18.008868323076921</v>
      </c>
      <c r="I578">
        <f>-60.0295610769231*(0.3)</f>
        <v>-18.008868323076921</v>
      </c>
      <c r="J578">
        <f>12.0059122153846*(0.3)</f>
        <v>3.6017736646153833</v>
      </c>
      <c r="K578">
        <f>-60.0295610769231*(0.3)</f>
        <v>-18.008868323076921</v>
      </c>
      <c r="L578">
        <f>-29.4144849276923*(0.3)</f>
        <v>-8.8243454783076913</v>
      </c>
      <c r="M578">
        <f>-66.0325171846154*(0.3)</f>
        <v>-19.809755155384615</v>
      </c>
      <c r="N578">
        <f>-60.0295610769231*(0.3)</f>
        <v>-18.008868323076921</v>
      </c>
    </row>
    <row r="579" spans="1:14" x14ac:dyDescent="0.25">
      <c r="A579">
        <f>60.94072554*(0.3)</f>
        <v>18.282217662000001</v>
      </c>
      <c r="B579">
        <f>-4.68774811846154*(0.3)</f>
        <v>-1.4063244355384614</v>
      </c>
      <c r="C579">
        <f>-14.0632443553846*(0.3)</f>
        <v>-4.2189733066153847</v>
      </c>
      <c r="D579">
        <f>-4.68774811846154*(0.3)</f>
        <v>-1.4063244355384614</v>
      </c>
      <c r="E579">
        <f>-4.68774811846154*(0.3)</f>
        <v>-1.4063244355384614</v>
      </c>
      <c r="F579">
        <f>-4.68774811846154*(0.3)</f>
        <v>-1.4063244355384614</v>
      </c>
      <c r="G579">
        <f>-2.81264887107692*(0.3)</f>
        <v>-0.84379466132307679</v>
      </c>
      <c r="H579">
        <f>-4.68774811846154*(0.3)</f>
        <v>-1.4063244355384614</v>
      </c>
      <c r="I579">
        <f>-4.68774811846154*(0.3)</f>
        <v>-1.4063244355384614</v>
      </c>
      <c r="J579">
        <f>0.937549623692307*(0.3)</f>
        <v>0.28126488710769221</v>
      </c>
      <c r="K579">
        <f>-4.68774811846154*(0.3)</f>
        <v>-1.4063244355384614</v>
      </c>
      <c r="L579">
        <f>-2.29699657804615*(0.3)</f>
        <v>-0.68909897341384607</v>
      </c>
      <c r="M579">
        <f>-5.15652293030769*(0.3)</f>
        <v>-1.5469568790923078</v>
      </c>
      <c r="N579">
        <f>-4.68774811846154*(0.3)</f>
        <v>-1.4063244355384614</v>
      </c>
    </row>
    <row r="580" spans="1:14" x14ac:dyDescent="0.25">
      <c r="A580">
        <f>1050.468999*(0.3)</f>
        <v>315.14069969999997</v>
      </c>
      <c r="B580">
        <f>-80.8053076153846*(0.3)</f>
        <v>-24.241592284615383</v>
      </c>
      <c r="C580">
        <f>-242.415922846154*(0.3)</f>
        <v>-72.724776853846137</v>
      </c>
      <c r="D580">
        <f>-80.8053076153846*(0.3)</f>
        <v>-24.241592284615383</v>
      </c>
      <c r="E580">
        <f>-80.8053076153846*(0.3)</f>
        <v>-24.241592284615383</v>
      </c>
      <c r="F580">
        <f>-80.8053076153846*(0.3)</f>
        <v>-24.241592284615383</v>
      </c>
      <c r="G580">
        <f>-48.4831845692308*(0.3)</f>
        <v>-14.544955370769229</v>
      </c>
      <c r="H580">
        <f>-80.8053076153846*(0.3)</f>
        <v>-24.241592284615383</v>
      </c>
      <c r="I580">
        <f>-80.8053076153846*(0.3)</f>
        <v>-24.241592284615383</v>
      </c>
      <c r="J580">
        <f>16.1610615230769*(0.3)</f>
        <v>4.8483184569230753</v>
      </c>
      <c r="K580">
        <f>-80.8053076153846*(0.3)</f>
        <v>-24.241592284615383</v>
      </c>
      <c r="L580">
        <f>-39.5946007315385*(0.3)</f>
        <v>-11.878380219461537</v>
      </c>
      <c r="M580">
        <f>-88.8858383769231*(0.3)</f>
        <v>-26.665751513076923</v>
      </c>
      <c r="N580">
        <f>-80.8053076153846*(0.3)</f>
        <v>-24.241592284615383</v>
      </c>
    </row>
    <row r="581" spans="1:14" x14ac:dyDescent="0.25">
      <c r="A581">
        <f>80.21684656*(0.3)</f>
        <v>24.065053967999997</v>
      </c>
      <c r="B581">
        <f>-6.17052665846154*(0.3)</f>
        <v>-1.8511579975384613</v>
      </c>
      <c r="C581">
        <f>-18.5115799753846*(0.3)</f>
        <v>-5.553473992615384</v>
      </c>
      <c r="D581">
        <f>-6.17052665846154*(0.3)</f>
        <v>-1.8511579975384613</v>
      </c>
      <c r="E581">
        <f>-6.17052665846154*(0.3)</f>
        <v>-1.8511579975384613</v>
      </c>
      <c r="F581">
        <f>-6.17052665846154*(0.3)</f>
        <v>-1.8511579975384613</v>
      </c>
      <c r="G581">
        <f>-3.70231599507692*(0.3)</f>
        <v>-1.1106947985230768</v>
      </c>
      <c r="H581">
        <f>-6.17052665846154*(0.3)</f>
        <v>-1.8511579975384613</v>
      </c>
      <c r="I581">
        <f>-6.17052665846154*(0.3)</f>
        <v>-1.8511579975384613</v>
      </c>
      <c r="J581">
        <f>1.23410533169231*(0.3)</f>
        <v>0.37023159950769219</v>
      </c>
      <c r="K581">
        <f>-6.17052665846154*(0.3)</f>
        <v>-1.8511579975384613</v>
      </c>
      <c r="L581">
        <f>-3.02355806264615*(0.3)</f>
        <v>-0.907067418793846</v>
      </c>
      <c r="M581">
        <f>-6.78757932430769*(0.3)</f>
        <v>-2.0362737972923077</v>
      </c>
      <c r="N581">
        <f>-6.17052665846154*(0.3)</f>
        <v>-1.8511579975384613</v>
      </c>
    </row>
    <row r="582" spans="1:14" x14ac:dyDescent="0.25">
      <c r="A582">
        <f>1326.067917*(0.3)</f>
        <v>397.82037510000004</v>
      </c>
      <c r="B582">
        <f>-102.005224384615*(0.3)</f>
        <v>-30.601567315384614</v>
      </c>
      <c r="C582">
        <f>-306.015673153846*(0.3)</f>
        <v>-91.804701946153841</v>
      </c>
      <c r="D582">
        <f>-102.005224384615*(0.3)</f>
        <v>-30.601567315384614</v>
      </c>
      <c r="E582">
        <f>-102.005224384615*(0.3)</f>
        <v>-30.601567315384614</v>
      </c>
      <c r="F582">
        <f>-102.005224384615*(0.3)</f>
        <v>-30.601567315384614</v>
      </c>
      <c r="G582">
        <f>-61.2031346307692*(0.3)</f>
        <v>-18.360940389230766</v>
      </c>
      <c r="H582">
        <f>-102.005224384615*(0.3)</f>
        <v>-30.601567315384614</v>
      </c>
      <c r="I582">
        <f>-102.005224384615*(0.3)</f>
        <v>-30.601567315384614</v>
      </c>
      <c r="J582">
        <f>20.4010448769231*(0.3)</f>
        <v>6.120313463076922</v>
      </c>
      <c r="K582">
        <f>-102.005224384615*(0.3)</f>
        <v>-30.601567315384614</v>
      </c>
      <c r="L582">
        <f>-49.9825599484615*(0.3)</f>
        <v>-14.994767984538463</v>
      </c>
      <c r="M582">
        <f>-112.205746823077*(0.3)</f>
        <v>-33.661724046923077</v>
      </c>
      <c r="N582">
        <f>-102.005224384615*(0.3)</f>
        <v>-30.601567315384614</v>
      </c>
    </row>
    <row r="583" spans="1:14" x14ac:dyDescent="0.25">
      <c r="A583">
        <f>92.82065328*(0.3)</f>
        <v>27.846195984000001</v>
      </c>
      <c r="B583">
        <f>-7.14005025230769*(0.3)</f>
        <v>-2.1420150756923078</v>
      </c>
      <c r="C583">
        <f>-21.4201507569231*(0.3)</f>
        <v>-6.4260452270769237</v>
      </c>
      <c r="D583">
        <f>-7.14005025230769*(0.3)</f>
        <v>-2.1420150756923078</v>
      </c>
      <c r="E583">
        <f>-7.14005025230769*(0.3)</f>
        <v>-2.1420150756923078</v>
      </c>
      <c r="F583">
        <f>-7.14005025230769*(0.3)</f>
        <v>-2.1420150756923078</v>
      </c>
      <c r="G583">
        <f>-4.28403015138462*(0.3)</f>
        <v>-1.2852090454153846</v>
      </c>
      <c r="H583">
        <f>-7.14005025230769*(0.3)</f>
        <v>-2.1420150756923078</v>
      </c>
      <c r="I583">
        <f>-7.14005025230769*(0.3)</f>
        <v>-2.1420150756923078</v>
      </c>
      <c r="J583">
        <f>1.42801005046154*(0.3)</f>
        <v>0.42840301513846146</v>
      </c>
      <c r="K583">
        <f>-7.14005025230769*(0.3)</f>
        <v>-2.1420150756923078</v>
      </c>
      <c r="L583">
        <f>-3.49862462363077*(0.3)</f>
        <v>-1.0495873870892307</v>
      </c>
      <c r="M583">
        <f>-7.85405527753846*(0.3)</f>
        <v>-2.3562165832615385</v>
      </c>
      <c r="N583">
        <f>-7.14005025230769*(0.3)</f>
        <v>-2.1420150756923078</v>
      </c>
    </row>
    <row r="584" spans="1:14" x14ac:dyDescent="0.25">
      <c r="A584">
        <f>1605.223718*(0.3)</f>
        <v>481.56711539999998</v>
      </c>
      <c r="B584">
        <f>-123.478747538462*(0.3)</f>
        <v>-37.043624261538461</v>
      </c>
      <c r="C584">
        <f>-370.436242615385*(0.3)</f>
        <v>-111.13087278461536</v>
      </c>
      <c r="D584">
        <f>-123.478747538462*(0.3)</f>
        <v>-37.043624261538461</v>
      </c>
      <c r="E584">
        <f>-123.478747538462*(0.3)</f>
        <v>-37.043624261538461</v>
      </c>
      <c r="F584">
        <f>-123.478747538462*(0.3)</f>
        <v>-37.043624261538461</v>
      </c>
      <c r="G584">
        <f>-74.0872485230769*(0.3)</f>
        <v>-22.226174556923077</v>
      </c>
      <c r="H584">
        <f>-123.478747538462*(0.3)</f>
        <v>-37.043624261538461</v>
      </c>
      <c r="I584">
        <f>-123.478747538462*(0.3)</f>
        <v>-37.043624261538461</v>
      </c>
      <c r="J584">
        <f>24.6957495076923*(0.3)</f>
        <v>7.4087248523076905</v>
      </c>
      <c r="K584">
        <f>-123.478747538462*(0.3)</f>
        <v>-37.043624261538461</v>
      </c>
      <c r="L584">
        <f>-60.5045862938462*(0.3)</f>
        <v>-18.151375888153844</v>
      </c>
      <c r="M584">
        <f>-135.826622292308*(0.3)</f>
        <v>-40.747986687692304</v>
      </c>
      <c r="N584">
        <f>-123.478747538462*(0.3)</f>
        <v>-37.043624261538461</v>
      </c>
    </row>
    <row r="585" spans="1:14" x14ac:dyDescent="0.25">
      <c r="A585">
        <f>105.1715408*(0.3)</f>
        <v>31.551462239999999</v>
      </c>
      <c r="B585">
        <f>-8.09011852307692*(0.3)</f>
        <v>-2.4270355569230766</v>
      </c>
      <c r="C585">
        <f>-24.2703555692308*(0.3)</f>
        <v>-7.2811066707692298</v>
      </c>
      <c r="D585">
        <f>-8.09011852307692*(0.3)</f>
        <v>-2.4270355569230766</v>
      </c>
      <c r="E585">
        <f>-8.09011852307692*(0.3)</f>
        <v>-2.4270355569230766</v>
      </c>
      <c r="F585">
        <f>-8.09011852307692*(0.3)</f>
        <v>-2.4270355569230766</v>
      </c>
      <c r="G585">
        <f>-4.85407111384615*(0.3)</f>
        <v>-1.4562213341538459</v>
      </c>
      <c r="H585">
        <f>-8.09011852307692*(0.3)</f>
        <v>-2.4270355569230766</v>
      </c>
      <c r="I585">
        <f>-8.09011852307692*(0.3)</f>
        <v>-2.4270355569230766</v>
      </c>
      <c r="J585">
        <f>1.61802370461538*(0.3)</f>
        <v>0.48540711138461523</v>
      </c>
      <c r="K585">
        <f>-8.09011852307692*(0.3)</f>
        <v>-2.4270355569230766</v>
      </c>
      <c r="L585">
        <f>-3.96415807630769*(0.3)</f>
        <v>-1.1892474228923076</v>
      </c>
      <c r="M585">
        <f>-8.89913037538462*(0.3)</f>
        <v>-2.6697391126153844</v>
      </c>
      <c r="N585">
        <f>-8.09011852307692*(0.3)</f>
        <v>-2.4270355569230766</v>
      </c>
    </row>
    <row r="586" spans="1:14" x14ac:dyDescent="0.25">
      <c r="A586">
        <f>1887.349325*(0.3)</f>
        <v>566.20479749999993</v>
      </c>
      <c r="B586">
        <f>-145.180717307692*(0.3)</f>
        <v>-43.554215192307687</v>
      </c>
      <c r="C586">
        <f>-435.542151923077*(0.3)</f>
        <v>-130.66264557692307</v>
      </c>
      <c r="D586">
        <f>-145.180717307692*(0.3)</f>
        <v>-43.554215192307687</v>
      </c>
      <c r="E586">
        <f>-145.180717307692*(0.3)</f>
        <v>-43.554215192307687</v>
      </c>
      <c r="F586">
        <f>-145.180717307692*(0.3)</f>
        <v>-43.554215192307687</v>
      </c>
      <c r="G586">
        <f>-87.1084303846154*(0.3)</f>
        <v>-26.13252911538461</v>
      </c>
      <c r="H586">
        <f>-145.180717307692*(0.3)</f>
        <v>-43.554215192307687</v>
      </c>
      <c r="I586">
        <f>-145.180717307692*(0.3)</f>
        <v>-43.554215192307687</v>
      </c>
      <c r="J586">
        <f>29.0361434615385*(0.3)</f>
        <v>8.7108430384615367</v>
      </c>
      <c r="K586">
        <f>-145.180717307692*(0.3)</f>
        <v>-43.554215192307687</v>
      </c>
      <c r="L586">
        <f>-71.1385514807692*(0.3)</f>
        <v>-21.341565444230767</v>
      </c>
      <c r="M586">
        <f>-159.698789038462*(0.3)</f>
        <v>-47.909636711538461</v>
      </c>
      <c r="N586">
        <f>-145.180717307692*(0.3)</f>
        <v>-43.554215192307687</v>
      </c>
    </row>
    <row r="587" spans="1:14" x14ac:dyDescent="0.25">
      <c r="A587">
        <f>113.7269447*(0.3)</f>
        <v>34.118083409999997</v>
      </c>
      <c r="B587">
        <f>-8.74822651538462*(0.3)</f>
        <v>-2.6244679546153846</v>
      </c>
      <c r="C587">
        <f>-26.2446795461538*(0.3)</f>
        <v>-7.8734038638461534</v>
      </c>
      <c r="D587">
        <f>-8.74822651538462*(0.3)</f>
        <v>-2.6244679546153846</v>
      </c>
      <c r="E587">
        <f>-8.74822651538462*(0.3)</f>
        <v>-2.6244679546153846</v>
      </c>
      <c r="F587">
        <f>-8.74822651538462*(0.3)</f>
        <v>-2.6244679546153846</v>
      </c>
      <c r="G587">
        <f>-5.24893590923077*(0.3)</f>
        <v>-1.5746807727692307</v>
      </c>
      <c r="H587">
        <f>-8.74822651538462*(0.3)</f>
        <v>-2.6244679546153846</v>
      </c>
      <c r="I587">
        <f>-8.74822651538462*(0.3)</f>
        <v>-2.6244679546153846</v>
      </c>
      <c r="J587">
        <f>1.74964530307692*(0.3)</f>
        <v>0.52489359092307686</v>
      </c>
      <c r="K587">
        <f>-8.74822651538462*(0.3)</f>
        <v>-2.6244679546153846</v>
      </c>
      <c r="L587">
        <f>-4.28663099253846*(0.3)</f>
        <v>-1.2859892977615386</v>
      </c>
      <c r="M587">
        <f>-9.62304916692308*(0.3)</f>
        <v>-2.8869147500769232</v>
      </c>
      <c r="N587">
        <f>-8.74822651538462*(0.3)</f>
        <v>-2.6244679546153846</v>
      </c>
    </row>
    <row r="588" spans="1:14" x14ac:dyDescent="0.25">
      <c r="A588">
        <f>2175.28268*(0.3)</f>
        <v>652.58480399999996</v>
      </c>
      <c r="B588">
        <f>-167.329436923077*(0.3)</f>
        <v>-50.198831076923071</v>
      </c>
      <c r="C588">
        <f>-501.988310769231*(0.3)</f>
        <v>-150.59649323076923</v>
      </c>
      <c r="D588">
        <f>-167.329436923077*(0.3)</f>
        <v>-50.198831076923071</v>
      </c>
      <c r="E588">
        <f>-167.329436923077*(0.3)</f>
        <v>-50.198831076923071</v>
      </c>
      <c r="F588">
        <f>-167.329436923077*(0.3)</f>
        <v>-50.198831076923071</v>
      </c>
      <c r="G588">
        <f>-100.397662153846*(0.3)</f>
        <v>-30.11929864615384</v>
      </c>
      <c r="H588">
        <f>-167.329436923077*(0.3)</f>
        <v>-50.198831076923071</v>
      </c>
      <c r="I588">
        <f>-167.329436923077*(0.3)</f>
        <v>-50.198831076923071</v>
      </c>
      <c r="J588">
        <f>33.4658873846154*(0.3)</f>
        <v>10.039766215384613</v>
      </c>
      <c r="K588">
        <f>-167.329436923077*(0.3)</f>
        <v>-50.198831076923071</v>
      </c>
      <c r="L588">
        <f>-81.9914240923077*(0.3)</f>
        <v>-24.597427227692304</v>
      </c>
      <c r="M588">
        <f>-184.062380615385*(0.3)</f>
        <v>-55.218714184615386</v>
      </c>
      <c r="N588">
        <f>-167.329436923077*(0.3)</f>
        <v>-50.198831076923071</v>
      </c>
    </row>
    <row r="589" spans="1:14" x14ac:dyDescent="0.25">
      <c r="A589">
        <f>124.8010185*(0.3)</f>
        <v>37.440305549999998</v>
      </c>
      <c r="B589">
        <f>-9.60007834615385*(0.3)</f>
        <v>-2.8800235038461541</v>
      </c>
      <c r="C589">
        <f>-28.8002350384615*(0.3)</f>
        <v>-8.6400705115384611</v>
      </c>
      <c r="D589">
        <f>-9.60007834615385*(0.3)</f>
        <v>-2.8800235038461541</v>
      </c>
      <c r="E589">
        <f>-9.60007834615385*(0.3)</f>
        <v>-2.8800235038461541</v>
      </c>
      <c r="F589">
        <f>-9.60007834615385*(0.3)</f>
        <v>-2.8800235038461541</v>
      </c>
      <c r="G589">
        <f>-5.76004700769231*(0.3)</f>
        <v>-1.7280141023076925</v>
      </c>
      <c r="H589">
        <f>-9.60007834615385*(0.3)</f>
        <v>-2.8800235038461541</v>
      </c>
      <c r="I589">
        <f>-9.60007834615385*(0.3)</f>
        <v>-2.8800235038461541</v>
      </c>
      <c r="J589">
        <f>1.92001566923077*(0.3)</f>
        <v>0.5760047007692306</v>
      </c>
      <c r="K589">
        <f>-9.60007834615385*(0.3)</f>
        <v>-2.8800235038461541</v>
      </c>
      <c r="L589">
        <f>-4.70403838961539*(0.3)</f>
        <v>-1.4112115168846155</v>
      </c>
      <c r="M589">
        <f>-10.5600861807692*(0.3)</f>
        <v>-3.1680258542307698</v>
      </c>
      <c r="N589">
        <f>-9.60007834615385*(0.3)</f>
        <v>-2.8800235038461541</v>
      </c>
    </row>
    <row r="590" spans="1:14" x14ac:dyDescent="0.25">
      <c r="A590">
        <f>2471.38184*(0.3)</f>
        <v>741.41455199999996</v>
      </c>
      <c r="B590">
        <f>-190.106295384615*(0.3)</f>
        <v>-57.031888615384609</v>
      </c>
      <c r="C590">
        <f>-570.318886153846*(0.3)</f>
        <v>-171.09566584615385</v>
      </c>
      <c r="D590">
        <f>-190.106295384615*(0.3)</f>
        <v>-57.031888615384609</v>
      </c>
      <c r="E590">
        <f>-190.106295384615*(0.3)</f>
        <v>-57.031888615384609</v>
      </c>
      <c r="F590">
        <f>-190.106295384615*(0.3)</f>
        <v>-57.031888615384609</v>
      </c>
      <c r="G590">
        <f>-114.063777230769*(0.3)</f>
        <v>-34.219133169230766</v>
      </c>
      <c r="H590">
        <f>-190.106295384615*(0.3)</f>
        <v>-57.031888615384609</v>
      </c>
      <c r="I590">
        <f>-190.106295384615*(0.3)</f>
        <v>-57.031888615384609</v>
      </c>
      <c r="J590">
        <f>38.0212590769231*(0.3)</f>
        <v>11.40637772307692</v>
      </c>
      <c r="K590">
        <f>-190.106295384615*(0.3)</f>
        <v>-57.031888615384609</v>
      </c>
      <c r="L590">
        <f>-93.1520847384615*(0.3)</f>
        <v>-27.945625421538463</v>
      </c>
      <c r="M590">
        <f>-209.116924923077*(0.3)</f>
        <v>-62.735077476923081</v>
      </c>
      <c r="N590">
        <f>-190.106295384615*(0.3)</f>
        <v>-57.031888615384609</v>
      </c>
    </row>
    <row r="591" spans="1:14" x14ac:dyDescent="0.25">
      <c r="A591">
        <f>134.6461846*(0.3)</f>
        <v>40.393855379999998</v>
      </c>
      <c r="B591">
        <f>-10.3573988153846*(0.3)</f>
        <v>-3.1072196446153844</v>
      </c>
      <c r="C591">
        <f>-31.0721964461538*(0.3)</f>
        <v>-9.3216589338461535</v>
      </c>
      <c r="D591">
        <f>-10.3573988153846*(0.3)</f>
        <v>-3.1072196446153844</v>
      </c>
      <c r="E591">
        <f>-10.3573988153846*(0.3)</f>
        <v>-3.1072196446153844</v>
      </c>
      <c r="F591">
        <f>-10.3573988153846*(0.3)</f>
        <v>-3.1072196446153844</v>
      </c>
      <c r="G591">
        <f>-6.21443928923077*(0.3)</f>
        <v>-1.8643317867692306</v>
      </c>
      <c r="H591">
        <f>-10.3573988153846*(0.3)</f>
        <v>-3.1072196446153844</v>
      </c>
      <c r="I591">
        <f>-10.3573988153846*(0.3)</f>
        <v>-3.1072196446153844</v>
      </c>
      <c r="J591">
        <f>2.07147976307692*(0.3)</f>
        <v>0.62144392892307676</v>
      </c>
      <c r="K591">
        <f>-10.3573988153846*(0.3)</f>
        <v>-3.1072196446153844</v>
      </c>
      <c r="L591">
        <f>-5.07512541953846*(0.3)</f>
        <v>-1.5225376258615382</v>
      </c>
      <c r="M591">
        <f>-11.3931386969231*(0.3)</f>
        <v>-3.4179416090769235</v>
      </c>
      <c r="N591">
        <f>-10.3573988153846*(0.3)</f>
        <v>-3.1072196446153844</v>
      </c>
    </row>
    <row r="592" spans="1:14" x14ac:dyDescent="0.25">
      <c r="A592">
        <f>2765.757453*(0.3)</f>
        <v>829.72723589999998</v>
      </c>
      <c r="B592">
        <f>-212.750573307692*(0.3)</f>
        <v>-63.825171992307695</v>
      </c>
      <c r="C592">
        <f>-638.251719923077*(0.3)</f>
        <v>-191.47551597692308</v>
      </c>
      <c r="D592">
        <f>-212.750573307692*(0.3)</f>
        <v>-63.825171992307695</v>
      </c>
      <c r="E592">
        <f>-212.750573307692*(0.3)</f>
        <v>-63.825171992307695</v>
      </c>
      <c r="F592">
        <f>-212.750573307692*(0.3)</f>
        <v>-63.825171992307695</v>
      </c>
      <c r="G592">
        <f>-127.650343984615*(0.3)</f>
        <v>-38.295103195384613</v>
      </c>
      <c r="H592">
        <f>-212.750573307692*(0.3)</f>
        <v>-63.825171992307695</v>
      </c>
      <c r="I592">
        <f>-212.750573307692*(0.3)</f>
        <v>-63.825171992307695</v>
      </c>
      <c r="J592">
        <f>42.5501146615385*(0.3)</f>
        <v>12.765034398461536</v>
      </c>
      <c r="K592">
        <f>-212.750573307692*(0.3)</f>
        <v>-63.825171992307695</v>
      </c>
      <c r="L592">
        <f>-104.247780920769*(0.3)</f>
        <v>-31.274334276230768</v>
      </c>
      <c r="M592">
        <f>-234.025630638462*(0.3)</f>
        <v>-70.207689191538464</v>
      </c>
      <c r="N592">
        <f>-212.750573307692*(0.3)</f>
        <v>-63.825171992307695</v>
      </c>
    </row>
    <row r="593" spans="1:14" x14ac:dyDescent="0.25">
      <c r="A593">
        <f>-59.77110793*(0.3)</f>
        <v>-17.931332379000001</v>
      </c>
      <c r="B593">
        <f>4.59777753307692*(0.3)</f>
        <v>1.3793332599230768</v>
      </c>
      <c r="C593">
        <f>13.7933325992308*(0.3)</f>
        <v>4.1379997797692303</v>
      </c>
      <c r="D593">
        <f>4.59777753307692*(0.3)</f>
        <v>1.3793332599230768</v>
      </c>
      <c r="E593">
        <f>4.59777753307692*(0.3)</f>
        <v>1.3793332599230768</v>
      </c>
      <c r="F593">
        <f>4.59777753307692*(0.3)</f>
        <v>1.3793332599230768</v>
      </c>
      <c r="G593">
        <f>2.75866651984615*(0.3)</f>
        <v>0.82759995595384606</v>
      </c>
      <c r="H593">
        <f>4.59777753307692*(0.3)</f>
        <v>1.3793332599230768</v>
      </c>
      <c r="I593">
        <f>4.59777753307692*(0.3)</f>
        <v>1.3793332599230768</v>
      </c>
      <c r="J593">
        <f>-0.919555506615384*(0.3)</f>
        <v>-0.2758666519846153</v>
      </c>
      <c r="K593">
        <f>4.59777753307692*(0.3)</f>
        <v>1.3793332599230768</v>
      </c>
      <c r="L593">
        <f>2.25291099120769*(0.3)</f>
        <v>0.67587329736230772</v>
      </c>
      <c r="M593">
        <f>5.05755528638462*(0.3)</f>
        <v>1.5172665859153847</v>
      </c>
      <c r="N593">
        <f>4.59777753307692*(0.3)</f>
        <v>1.3793332599230768</v>
      </c>
    </row>
    <row r="594" spans="1:14" x14ac:dyDescent="0.25">
      <c r="A594">
        <f>-58.60171738*(0.3)</f>
        <v>-17.580515213999998</v>
      </c>
      <c r="B594">
        <f>4.50782441384615*(0.3)</f>
        <v>1.352347324153846</v>
      </c>
      <c r="C594">
        <f>13.5234732415385*(0.3)</f>
        <v>4.0570419724615379</v>
      </c>
      <c r="D594">
        <f>4.50782441384615*(0.3)</f>
        <v>1.352347324153846</v>
      </c>
      <c r="E594">
        <f>4.50782441384615*(0.3)</f>
        <v>1.352347324153846</v>
      </c>
      <c r="F594">
        <f>4.50782441384615*(0.3)</f>
        <v>1.352347324153846</v>
      </c>
      <c r="G594">
        <f>2.70469464830769*(0.3)</f>
        <v>0.81140839449230751</v>
      </c>
      <c r="H594">
        <f>4.50782441384615*(0.3)</f>
        <v>1.352347324153846</v>
      </c>
      <c r="I594">
        <f>4.50782441384615*(0.3)</f>
        <v>1.352347324153846</v>
      </c>
      <c r="J594">
        <f>-0.90156488276923*(0.3)</f>
        <v>-0.27046946483076911</v>
      </c>
      <c r="K594">
        <f>4.50782441384615*(0.3)</f>
        <v>1.352347324153846</v>
      </c>
      <c r="L594">
        <f>2.20883396278461*(0.3)</f>
        <v>0.66265018883538451</v>
      </c>
      <c r="M594">
        <f>4.95860685523077*(0.3)</f>
        <v>1.4875820565692306</v>
      </c>
      <c r="N594">
        <f>4.50782441384615*(0.3)</f>
        <v>1.352347324153846</v>
      </c>
    </row>
    <row r="595" spans="1:14" x14ac:dyDescent="0.25">
      <c r="A595">
        <f>-93.64082992*(0.3)</f>
        <v>-28.092248976</v>
      </c>
      <c r="B595">
        <f>7.20314076307692*(0.3)</f>
        <v>2.1609422289230769</v>
      </c>
      <c r="C595">
        <f>21.6094222892308*(0.3)</f>
        <v>6.4828266867692301</v>
      </c>
      <c r="D595">
        <f>7.20314076307692*(0.3)</f>
        <v>2.1609422289230769</v>
      </c>
      <c r="E595">
        <f>7.20314076307692*(0.3)</f>
        <v>2.1609422289230769</v>
      </c>
      <c r="F595">
        <f>7.20314076307692*(0.3)</f>
        <v>2.1609422289230769</v>
      </c>
      <c r="G595">
        <f>4.32188445784615*(0.3)</f>
        <v>1.2965653373538462</v>
      </c>
      <c r="H595">
        <f>7.20314076307692*(0.3)</f>
        <v>2.1609422289230769</v>
      </c>
      <c r="I595">
        <f>7.20314076307692*(0.3)</f>
        <v>2.1609422289230769</v>
      </c>
      <c r="J595">
        <f>-1.44062815261538*(0.3)</f>
        <v>-0.43218844578461529</v>
      </c>
      <c r="K595">
        <f>7.20314076307692*(0.3)</f>
        <v>2.1609422289230769</v>
      </c>
      <c r="L595">
        <f>3.52953897390769*(0.3)</f>
        <v>1.0588616921723077</v>
      </c>
      <c r="M595">
        <f>7.92345483938462*(0.3)</f>
        <v>2.3770364518153846</v>
      </c>
      <c r="N595">
        <f>7.20314076307692*(0.3)</f>
        <v>2.1609422289230769</v>
      </c>
    </row>
    <row r="596" spans="1:14" x14ac:dyDescent="0.25">
      <c r="A596">
        <f>-77.16469836*(0.3)</f>
        <v>-23.149409508000002</v>
      </c>
      <c r="B596">
        <f>5.93574602769231*(0.3)</f>
        <v>1.7807238083076924</v>
      </c>
      <c r="C596">
        <f>17.8072380830769*(0.3)</f>
        <v>5.3421714249230776</v>
      </c>
      <c r="D596">
        <f>5.93574602769231*(0.3)</f>
        <v>1.7807238083076924</v>
      </c>
      <c r="E596">
        <f>5.93574602769231*(0.3)</f>
        <v>1.7807238083076924</v>
      </c>
      <c r="F596">
        <f>5.93574602769231*(0.3)</f>
        <v>1.7807238083076924</v>
      </c>
      <c r="G596">
        <f>3.56144761661538*(0.3)</f>
        <v>1.0684342849846153</v>
      </c>
      <c r="H596">
        <f>5.93574602769231*(0.3)</f>
        <v>1.7807238083076924</v>
      </c>
      <c r="I596">
        <f>5.93574602769231*(0.3)</f>
        <v>1.7807238083076924</v>
      </c>
      <c r="J596">
        <f>-1.18714920553846*(0.3)</f>
        <v>-0.35614476166153841</v>
      </c>
      <c r="K596">
        <f>5.93574602769231*(0.3)</f>
        <v>1.7807238083076924</v>
      </c>
      <c r="L596">
        <f>2.90851555356923*(0.3)</f>
        <v>0.87255466607076926</v>
      </c>
      <c r="M596">
        <f>6.52932063046154*(0.3)</f>
        <v>1.9587961891384618</v>
      </c>
      <c r="N596">
        <f>5.93574602769231*(0.3)</f>
        <v>1.7807238083076924</v>
      </c>
    </row>
    <row r="597" spans="1:14" x14ac:dyDescent="0.25">
      <c r="A597">
        <f>-143.9668386*(0.3)</f>
        <v>-43.190051579999995</v>
      </c>
      <c r="B597">
        <f>11.0743722*(0.3)</f>
        <v>3.3223116599999996</v>
      </c>
      <c r="C597">
        <f>33.2231166*(0.3)</f>
        <v>9.9669349799999996</v>
      </c>
      <c r="D597">
        <f>11.0743722*(0.3)</f>
        <v>3.3223116599999996</v>
      </c>
      <c r="E597">
        <f>11.0743722*(0.3)</f>
        <v>3.3223116599999996</v>
      </c>
      <c r="F597">
        <f>11.0743722*(0.3)</f>
        <v>3.3223116599999996</v>
      </c>
      <c r="G597">
        <f>6.64462332*(0.3)</f>
        <v>1.9933869959999997</v>
      </c>
      <c r="H597">
        <f>11.0743722*(0.3)</f>
        <v>3.3223116599999996</v>
      </c>
      <c r="I597">
        <f>11.0743722*(0.3)</f>
        <v>3.3223116599999996</v>
      </c>
      <c r="J597">
        <f>-2.21487444*(0.3)</f>
        <v>-0.66446233199999971</v>
      </c>
      <c r="K597">
        <f>11.0743722*(0.3)</f>
        <v>3.3223116599999996</v>
      </c>
      <c r="L597">
        <f>5.426442378*(0.3)</f>
        <v>1.6279327133999997</v>
      </c>
      <c r="M597">
        <f>12.18180942*(0.3)</f>
        <v>3.6545428260000001</v>
      </c>
      <c r="N597">
        <f>11.0743722*(0.3)</f>
        <v>3.3223116599999996</v>
      </c>
    </row>
    <row r="598" spans="1:14" x14ac:dyDescent="0.25">
      <c r="A598">
        <f>-102.4349109*(0.3)</f>
        <v>-30.730473270000001</v>
      </c>
      <c r="B598">
        <f>7.87960853076923*(0.3)</f>
        <v>2.3638825592307695</v>
      </c>
      <c r="C598">
        <f>23.6388255923077*(0.3)</f>
        <v>7.0916476776923076</v>
      </c>
      <c r="D598">
        <f>7.87960853076923*(0.3)</f>
        <v>2.3638825592307695</v>
      </c>
      <c r="E598">
        <f>7.87960853076923*(0.3)</f>
        <v>2.3638825592307695</v>
      </c>
      <c r="F598">
        <f>7.87960853076923*(0.3)</f>
        <v>2.3638825592307695</v>
      </c>
      <c r="G598">
        <f>4.72776511846154*(0.3)</f>
        <v>1.4183295355384617</v>
      </c>
      <c r="H598">
        <f>7.87960853076923*(0.3)</f>
        <v>2.3638825592307695</v>
      </c>
      <c r="I598">
        <f>7.87960853076923*(0.3)</f>
        <v>2.3638825592307695</v>
      </c>
      <c r="J598">
        <f>-1.57592170615385*(0.3)</f>
        <v>-0.47277651184615377</v>
      </c>
      <c r="K598">
        <f>7.87960853076923*(0.3)</f>
        <v>2.3638825592307695</v>
      </c>
      <c r="L598">
        <f>3.86100818007692*(0.3)</f>
        <v>1.1583024540230769</v>
      </c>
      <c r="M598">
        <f>8.66756938384616*(0.3)</f>
        <v>2.6002708151538463</v>
      </c>
      <c r="N598">
        <f>7.87960853076923*(0.3)</f>
        <v>2.3638825592307695</v>
      </c>
    </row>
    <row r="599" spans="1:14" x14ac:dyDescent="0.25">
      <c r="A599">
        <f>-199.7981771*(0.3)</f>
        <v>-59.939453129999997</v>
      </c>
      <c r="B599">
        <f>15.3690905461538*(0.3)</f>
        <v>4.6107271638461533</v>
      </c>
      <c r="C599">
        <f>46.1072716384615*(0.3)</f>
        <v>13.832181491538462</v>
      </c>
      <c r="D599">
        <f>15.3690905461538*(0.3)</f>
        <v>4.6107271638461533</v>
      </c>
      <c r="E599">
        <f>15.3690905461538*(0.3)</f>
        <v>4.6107271638461533</v>
      </c>
      <c r="F599">
        <f>15.3690905461538*(0.3)</f>
        <v>4.6107271638461533</v>
      </c>
      <c r="G599">
        <f>9.22145432769231*(0.3)</f>
        <v>2.766436298307692</v>
      </c>
      <c r="H599">
        <f>15.3690905461538*(0.3)</f>
        <v>4.6107271638461533</v>
      </c>
      <c r="I599">
        <f>15.3690905461538*(0.3)</f>
        <v>4.6107271638461533</v>
      </c>
      <c r="J599">
        <f>-3.07381810923077*(0.3)</f>
        <v>-0.92214543276923056</v>
      </c>
      <c r="K599">
        <f>15.3690905461538*(0.3)</f>
        <v>4.6107271638461533</v>
      </c>
      <c r="L599">
        <f>7.53085436761538*(0.3)</f>
        <v>2.259256310284615</v>
      </c>
      <c r="M599">
        <f>16.9059996007692*(0.3)</f>
        <v>5.0717998802307696</v>
      </c>
      <c r="N599">
        <f>15.3690905461538*(0.3)</f>
        <v>4.6107271638461533</v>
      </c>
    </row>
    <row r="600" spans="1:14" x14ac:dyDescent="0.25">
      <c r="A600">
        <f>-121.627118*(0.3)</f>
        <v>-36.488135399999997</v>
      </c>
      <c r="B600">
        <f>9.35593215384615*(0.3)</f>
        <v>2.8067796461538457</v>
      </c>
      <c r="C600">
        <f>28.0677964615385*(0.3)</f>
        <v>8.420338938461537</v>
      </c>
      <c r="D600">
        <f>9.35593215384615*(0.3)</f>
        <v>2.8067796461538457</v>
      </c>
      <c r="E600">
        <f>9.35593215384615*(0.3)</f>
        <v>2.8067796461538457</v>
      </c>
      <c r="F600">
        <f>9.35593215384615*(0.3)</f>
        <v>2.8067796461538457</v>
      </c>
      <c r="G600">
        <f>5.61355929230769*(0.3)</f>
        <v>1.6840677876923074</v>
      </c>
      <c r="H600">
        <f>9.35593215384615*(0.3)</f>
        <v>2.8067796461538457</v>
      </c>
      <c r="I600">
        <f>9.35593215384615*(0.3)</f>
        <v>2.8067796461538457</v>
      </c>
      <c r="J600">
        <f>-1.87118643076923*(0.3)</f>
        <v>-0.56135592923076905</v>
      </c>
      <c r="K600">
        <f>9.35593215384615*(0.3)</f>
        <v>2.8067796461538457</v>
      </c>
      <c r="L600">
        <f>4.58440675538461*(0.3)</f>
        <v>1.3753220266153845</v>
      </c>
      <c r="M600">
        <f>10.2915253692308*(0.3)</f>
        <v>3.0874576107692304</v>
      </c>
      <c r="N600">
        <f>9.35593215384615*(0.3)</f>
        <v>2.8067796461538457</v>
      </c>
    </row>
    <row r="601" spans="1:14" x14ac:dyDescent="0.25">
      <c r="A601">
        <f>-273.8143415*(0.3)</f>
        <v>-82.144302449999998</v>
      </c>
      <c r="B601">
        <f>21.0626416538462*(0.3)</f>
        <v>6.3187924961538462</v>
      </c>
      <c r="C601">
        <f>63.1879249615385*(0.3)</f>
        <v>18.956377488461538</v>
      </c>
      <c r="D601">
        <f>21.0626416538462*(0.3)</f>
        <v>6.3187924961538462</v>
      </c>
      <c r="E601">
        <f>21.0626416538462*(0.3)</f>
        <v>6.3187924961538462</v>
      </c>
      <c r="F601">
        <f>21.0626416538462*(0.3)</f>
        <v>6.3187924961538462</v>
      </c>
      <c r="G601">
        <f>12.6375849923077*(0.3)</f>
        <v>3.7912754976923075</v>
      </c>
      <c r="H601">
        <f>21.0626416538462*(0.3)</f>
        <v>6.3187924961538462</v>
      </c>
      <c r="I601">
        <f>21.0626416538462*(0.3)</f>
        <v>6.3187924961538462</v>
      </c>
      <c r="J601">
        <f>-4.21252833076923*(0.3)</f>
        <v>-1.2637584992307689</v>
      </c>
      <c r="K601">
        <f>21.0626416538462*(0.3)</f>
        <v>6.3187924961538462</v>
      </c>
      <c r="L601">
        <f>10.3206944103846*(0.3)</f>
        <v>3.0962083231153845</v>
      </c>
      <c r="M601">
        <f>23.1689058192308*(0.3)</f>
        <v>6.9506717457692302</v>
      </c>
      <c r="N601">
        <f>21.0626416538462*(0.3)</f>
        <v>6.3187924961538462</v>
      </c>
    </row>
    <row r="602" spans="1:14" x14ac:dyDescent="0.25">
      <c r="A602">
        <f>-138.3763794*(0.3)</f>
        <v>-41.512913819999994</v>
      </c>
      <c r="B602">
        <f>10.6443368769231*(0.3)</f>
        <v>3.1933010630769227</v>
      </c>
      <c r="C602">
        <f>31.9330106307692*(0.3)</f>
        <v>9.5799031892307678</v>
      </c>
      <c r="D602">
        <f>10.6443368769231*(0.3)</f>
        <v>3.1933010630769227</v>
      </c>
      <c r="E602">
        <f>10.6443368769231*(0.3)</f>
        <v>3.1933010630769227</v>
      </c>
      <c r="F602">
        <f>10.6443368769231*(0.3)</f>
        <v>3.1933010630769227</v>
      </c>
      <c r="G602">
        <f>6.38660212615385*(0.3)</f>
        <v>1.9159806378461535</v>
      </c>
      <c r="H602">
        <f>10.6443368769231*(0.3)</f>
        <v>3.1933010630769227</v>
      </c>
      <c r="I602">
        <f>10.6443368769231*(0.3)</f>
        <v>3.1933010630769227</v>
      </c>
      <c r="J602">
        <f>-2.12886737538461*(0.3)</f>
        <v>-0.6386602126153843</v>
      </c>
      <c r="K602">
        <f>10.6443368769231*(0.3)</f>
        <v>3.1933010630769227</v>
      </c>
      <c r="L602">
        <f>5.21572506969231*(0.3)</f>
        <v>1.564717520907692</v>
      </c>
      <c r="M602">
        <f>11.7087705646154*(0.3)</f>
        <v>3.5126311693846151</v>
      </c>
      <c r="N602">
        <f>10.6443368769231*(0.3)</f>
        <v>3.1933010630769227</v>
      </c>
    </row>
    <row r="603" spans="1:14" x14ac:dyDescent="0.25">
      <c r="A603">
        <f>-376.6576112*(0.3)</f>
        <v>-112.99728336</v>
      </c>
      <c r="B603">
        <f>28.9736624*(0.3)</f>
        <v>8.6920987200000006</v>
      </c>
      <c r="C603">
        <f>86.9209872*(0.3)</f>
        <v>26.076296160000002</v>
      </c>
      <c r="D603">
        <f>28.9736624*(0.3)</f>
        <v>8.6920987200000006</v>
      </c>
      <c r="E603">
        <f>28.9736624*(0.3)</f>
        <v>8.6920987200000006</v>
      </c>
      <c r="F603">
        <f>28.9736624*(0.3)</f>
        <v>8.6920987200000006</v>
      </c>
      <c r="G603">
        <f>17.38419744*(0.3)</f>
        <v>5.2152592320000002</v>
      </c>
      <c r="H603">
        <f>28.9736624*(0.3)</f>
        <v>8.6920987200000006</v>
      </c>
      <c r="I603">
        <f>28.9736624*(0.3)</f>
        <v>8.6920987200000006</v>
      </c>
      <c r="J603">
        <f>-5.79473248*(0.3)</f>
        <v>-1.7384197439999998</v>
      </c>
      <c r="K603">
        <f>28.9736624*(0.3)</f>
        <v>8.6920987200000006</v>
      </c>
      <c r="L603">
        <f>14.197094576*(0.3)</f>
        <v>4.2591283728000002</v>
      </c>
      <c r="M603">
        <f>31.87102864*(0.3)</f>
        <v>9.5613085920000014</v>
      </c>
      <c r="N603">
        <f>28.9736624*(0.3)</f>
        <v>8.6920987200000006</v>
      </c>
    </row>
    <row r="604" spans="1:14" x14ac:dyDescent="0.25">
      <c r="A604">
        <f>-158.3417957*(0.3)</f>
        <v>-47.502538710000003</v>
      </c>
      <c r="B604">
        <f>12.1801381307692*(0.3)</f>
        <v>3.6540414392307694</v>
      </c>
      <c r="C604">
        <f>36.5404143923077*(0.3)</f>
        <v>10.962124317692309</v>
      </c>
      <c r="D604">
        <f>12.1801381307692*(0.3)</f>
        <v>3.6540414392307694</v>
      </c>
      <c r="E604">
        <f>12.1801381307692*(0.3)</f>
        <v>3.6540414392307694</v>
      </c>
      <c r="F604">
        <f>12.1801381307692*(0.3)</f>
        <v>3.6540414392307694</v>
      </c>
      <c r="G604">
        <f>7.30808287846154*(0.3)</f>
        <v>2.1924248635384616</v>
      </c>
      <c r="H604">
        <f>12.1801381307692*(0.3)</f>
        <v>3.6540414392307694</v>
      </c>
      <c r="I604">
        <f>12.1801381307692*(0.3)</f>
        <v>3.6540414392307694</v>
      </c>
      <c r="J604">
        <f>-2.43602762615385*(0.3)</f>
        <v>-0.7308082878461537</v>
      </c>
      <c r="K604">
        <f>12.1801381307692*(0.3)</f>
        <v>3.6540414392307694</v>
      </c>
      <c r="L604">
        <f>5.96826768407692*(0.3)</f>
        <v>1.7904803052230769</v>
      </c>
      <c r="M604">
        <f>13.3981519438462*(0.3)</f>
        <v>4.0194455831538463</v>
      </c>
      <c r="N604">
        <f>12.1801381307692*(0.3)</f>
        <v>3.6540414392307694</v>
      </c>
    </row>
    <row r="605" spans="1:14" x14ac:dyDescent="0.25">
      <c r="A605">
        <f>-519.4432388*(0.3)</f>
        <v>-155.83297164000001</v>
      </c>
      <c r="B605">
        <f>39.9571722153846*(0.3)</f>
        <v>11.987151664615384</v>
      </c>
      <c r="C605">
        <f>119.871516646154*(0.3)</f>
        <v>35.961454993846154</v>
      </c>
      <c r="D605">
        <f>39.9571722153846*(0.3)</f>
        <v>11.987151664615384</v>
      </c>
      <c r="E605">
        <f>39.9571722153846*(0.3)</f>
        <v>11.987151664615384</v>
      </c>
      <c r="F605">
        <f>39.9571722153846*(0.3)</f>
        <v>11.987151664615384</v>
      </c>
      <c r="G605">
        <f>23.9743033292308*(0.3)</f>
        <v>7.1922909987692298</v>
      </c>
      <c r="H605">
        <f>39.9571722153846*(0.3)</f>
        <v>11.987151664615384</v>
      </c>
      <c r="I605">
        <f>39.9571722153846*(0.3)</f>
        <v>11.987151664615384</v>
      </c>
      <c r="J605">
        <f>-7.99143444307692*(0.3)</f>
        <v>-2.3974303329230766</v>
      </c>
      <c r="K605">
        <f>39.9571722153846*(0.3)</f>
        <v>11.987151664615384</v>
      </c>
      <c r="L605">
        <f>19.5790143855385*(0.3)</f>
        <v>5.8737043156615378</v>
      </c>
      <c r="M605">
        <f>43.9528894369231*(0.3)</f>
        <v>13.185866831076924</v>
      </c>
      <c r="N605">
        <f>39.9571722153846*(0.3)</f>
        <v>11.987151664615384</v>
      </c>
    </row>
    <row r="606" spans="1:14" x14ac:dyDescent="0.25">
      <c r="A606">
        <f>-179.6903268*(0.3)</f>
        <v>-53.907098040000001</v>
      </c>
      <c r="B606">
        <f>13.8223328307692*(0.3)</f>
        <v>4.1466998492307692</v>
      </c>
      <c r="C606">
        <f>41.4669984923077*(0.3)</f>
        <v>12.440099547692308</v>
      </c>
      <c r="D606">
        <f>13.8223328307692*(0.3)</f>
        <v>4.1466998492307692</v>
      </c>
      <c r="E606">
        <f>13.8223328307692*(0.3)</f>
        <v>4.1466998492307692</v>
      </c>
      <c r="F606">
        <f>13.8223328307692*(0.3)</f>
        <v>4.1466998492307692</v>
      </c>
      <c r="G606">
        <f>8.29339969846154*(0.3)</f>
        <v>2.4880199095384614</v>
      </c>
      <c r="H606">
        <f>13.8223328307692*(0.3)</f>
        <v>4.1466998492307692</v>
      </c>
      <c r="I606">
        <f>13.8223328307692*(0.3)</f>
        <v>4.1466998492307692</v>
      </c>
      <c r="J606">
        <f>-2.76446656615385*(0.3)</f>
        <v>-0.82933996984615366</v>
      </c>
      <c r="K606">
        <f>13.8223328307692*(0.3)</f>
        <v>4.1466998492307692</v>
      </c>
      <c r="L606">
        <f>6.77294308707692*(0.3)</f>
        <v>2.0318829261230769</v>
      </c>
      <c r="M606">
        <f>15.2045661138462*(0.3)</f>
        <v>4.5613698341538464</v>
      </c>
      <c r="N606">
        <f>13.8223328307692*(0.3)</f>
        <v>4.1466998492307692</v>
      </c>
    </row>
    <row r="607" spans="1:14" x14ac:dyDescent="0.25">
      <c r="A607">
        <f>-729.5609519*(0.3)</f>
        <v>-218.86828556999998</v>
      </c>
      <c r="B607">
        <f>56.1200732230769*(0.3)</f>
        <v>16.836021966923077</v>
      </c>
      <c r="C607">
        <f>168.360219669231*(0.3)</f>
        <v>50.508065900769225</v>
      </c>
      <c r="D607">
        <f>56.1200732230769*(0.3)</f>
        <v>16.836021966923077</v>
      </c>
      <c r="E607">
        <f>56.1200732230769*(0.3)</f>
        <v>16.836021966923077</v>
      </c>
      <c r="F607">
        <f>56.1200732230769*(0.3)</f>
        <v>16.836021966923077</v>
      </c>
      <c r="G607">
        <f>33.6720439338462*(0.3)</f>
        <v>10.101613180153846</v>
      </c>
      <c r="H607">
        <f>56.1200732230769*(0.3)</f>
        <v>16.836021966923077</v>
      </c>
      <c r="I607">
        <f>56.1200732230769*(0.3)</f>
        <v>16.836021966923077</v>
      </c>
      <c r="J607">
        <f>-11.2240146446154*(0.3)</f>
        <v>-3.3672043933846143</v>
      </c>
      <c r="K607">
        <f>56.1200732230769*(0.3)</f>
        <v>16.836021966923077</v>
      </c>
      <c r="L607">
        <f>27.4988358793077*(0.3)</f>
        <v>8.2496507637923067</v>
      </c>
      <c r="M607">
        <f>61.7320805453846*(0.3)</f>
        <v>18.519624163615386</v>
      </c>
      <c r="N607">
        <f>56.1200732230769*(0.3)</f>
        <v>16.836021966923077</v>
      </c>
    </row>
    <row r="608" spans="1:14" x14ac:dyDescent="0.25">
      <c r="A608">
        <f>-196.7369487*(0.3)</f>
        <v>-59.021084609999996</v>
      </c>
      <c r="B608">
        <f>15.1336114384615*(0.3)</f>
        <v>4.5400834315384619</v>
      </c>
      <c r="C608">
        <f>45.4008343153846*(0.3)</f>
        <v>13.620250294615383</v>
      </c>
      <c r="D608">
        <f>15.1336114384615*(0.3)</f>
        <v>4.5400834315384619</v>
      </c>
      <c r="E608">
        <f>15.1336114384615*(0.3)</f>
        <v>4.5400834315384619</v>
      </c>
      <c r="F608">
        <f>15.1336114384615*(0.3)</f>
        <v>4.5400834315384619</v>
      </c>
      <c r="G608">
        <f>9.08016686307692*(0.3)</f>
        <v>2.7240500589230772</v>
      </c>
      <c r="H608">
        <f>15.1336114384615*(0.3)</f>
        <v>4.5400834315384619</v>
      </c>
      <c r="I608">
        <f>15.1336114384615*(0.3)</f>
        <v>4.5400834315384619</v>
      </c>
      <c r="J608">
        <f>-3.02672228769231*(0.3)</f>
        <v>-0.90801668630769217</v>
      </c>
      <c r="K608">
        <f>15.1336114384615*(0.3)</f>
        <v>4.5400834315384619</v>
      </c>
      <c r="L608">
        <f>7.41546960484615*(0.3)</f>
        <v>2.2246408814538463</v>
      </c>
      <c r="M608">
        <f>16.6469725823077*(0.3)</f>
        <v>4.9940917746923077</v>
      </c>
      <c r="N608">
        <f>15.1336114384615*(0.3)</f>
        <v>4.5400834315384619</v>
      </c>
    </row>
    <row r="609" spans="1:14" x14ac:dyDescent="0.25">
      <c r="A609">
        <f>-25.34872718*(0.3)</f>
        <v>-7.6046181539999997</v>
      </c>
      <c r="B609">
        <f>1.94990209076923*(0.3)</f>
        <v>0.5849706272307692</v>
      </c>
      <c r="C609">
        <f>5.84970627230769*(0.3)</f>
        <v>1.7549118816923077</v>
      </c>
      <c r="D609">
        <f>1.94990209076923*(0.3)</f>
        <v>0.5849706272307692</v>
      </c>
      <c r="E609">
        <f>1.94990209076923*(0.3)</f>
        <v>0.5849706272307692</v>
      </c>
      <c r="F609">
        <f>1.94990209076923*(0.3)</f>
        <v>0.5849706272307692</v>
      </c>
      <c r="G609">
        <f>1.16994125446154*(0.3)</f>
        <v>0.35098237633846152</v>
      </c>
      <c r="H609">
        <f>1.94990209076923*(0.3)</f>
        <v>0.5849706272307692</v>
      </c>
      <c r="I609">
        <f>1.94990209076923*(0.3)</f>
        <v>0.5849706272307692</v>
      </c>
      <c r="J609">
        <f>-0.389980418153846*(0.3)</f>
        <v>-0.11699412544615383</v>
      </c>
      <c r="K609">
        <f>1.94990209076923*(0.3)</f>
        <v>0.5849706272307692</v>
      </c>
      <c r="L609">
        <f>0.955452024476923*(0.3)</f>
        <v>0.28663560734307691</v>
      </c>
      <c r="M609">
        <f>2.14489229984615*(0.3)</f>
        <v>0.64346768995384618</v>
      </c>
      <c r="N609">
        <f>1.94990209076923*(0.3)</f>
        <v>0.5849706272307692</v>
      </c>
    </row>
    <row r="610" spans="1:14" x14ac:dyDescent="0.25">
      <c r="A610">
        <f>-112.0449478*(0.3)</f>
        <v>-33.613484339999999</v>
      </c>
      <c r="B610">
        <f>8.61884213846154*(0.3)</f>
        <v>2.5856526415384615</v>
      </c>
      <c r="C610">
        <f>25.8565264153846*(0.3)</f>
        <v>7.7569579246153841</v>
      </c>
      <c r="D610">
        <f>8.61884213846154*(0.3)</f>
        <v>2.5856526415384615</v>
      </c>
      <c r="E610">
        <f>8.61884213846154*(0.3)</f>
        <v>2.5856526415384615</v>
      </c>
      <c r="F610">
        <f>8.61884213846154*(0.3)</f>
        <v>2.5856526415384615</v>
      </c>
      <c r="G610">
        <f>5.17130528307692*(0.3)</f>
        <v>1.5513915849230768</v>
      </c>
      <c r="H610">
        <f>8.61884213846154*(0.3)</f>
        <v>2.5856526415384615</v>
      </c>
      <c r="I610">
        <f>8.61884213846154*(0.3)</f>
        <v>2.5856526415384615</v>
      </c>
      <c r="J610">
        <f>-1.72376842769231*(0.3)</f>
        <v>-0.51713052830769213</v>
      </c>
      <c r="K610">
        <f>8.61884213846154*(0.3)</f>
        <v>2.5856526415384615</v>
      </c>
      <c r="L610">
        <f>4.22323264784615*(0.3)</f>
        <v>1.266969794353846</v>
      </c>
      <c r="M610">
        <f>9.48072635230769*(0.3)</f>
        <v>2.8442179056923078</v>
      </c>
      <c r="N610">
        <f>8.61884213846154*(0.3)</f>
        <v>2.5856526415384615</v>
      </c>
    </row>
    <row r="611" spans="1:14" x14ac:dyDescent="0.25">
      <c r="A611">
        <f>-42.64419145*(0.3)</f>
        <v>-12.793257434999999</v>
      </c>
      <c r="B611">
        <f>3.28032241923077*(0.3)</f>
        <v>0.98409672576923068</v>
      </c>
      <c r="C611">
        <f>9.84096725769231*(0.3)</f>
        <v>2.9522901773076922</v>
      </c>
      <c r="D611">
        <f>3.28032241923077*(0.3)</f>
        <v>0.98409672576923068</v>
      </c>
      <c r="E611">
        <f>3.28032241923077*(0.3)</f>
        <v>0.98409672576923068</v>
      </c>
      <c r="F611">
        <f>3.28032241923077*(0.3)</f>
        <v>0.98409672576923068</v>
      </c>
      <c r="G611">
        <f>1.96819345153846*(0.3)</f>
        <v>0.59045803546153841</v>
      </c>
      <c r="H611">
        <f>3.28032241923077*(0.3)</f>
        <v>0.98409672576923068</v>
      </c>
      <c r="I611">
        <f>3.28032241923077*(0.3)</f>
        <v>0.98409672576923068</v>
      </c>
      <c r="J611">
        <f>-0.656064483846154*(0.3)</f>
        <v>-0.19681934515384611</v>
      </c>
      <c r="K611">
        <f>3.28032241923077*(0.3)</f>
        <v>0.98409672576923068</v>
      </c>
      <c r="L611">
        <f>1.60735798542308*(0.3)</f>
        <v>0.48220739562692305</v>
      </c>
      <c r="M611">
        <f>3.60835466115385*(0.3)</f>
        <v>1.0825063983461538</v>
      </c>
      <c r="N611">
        <f>3.28032241923077*(0.3)</f>
        <v>0.98409672576923068</v>
      </c>
    </row>
    <row r="612" spans="1:14" x14ac:dyDescent="0.25">
      <c r="A612">
        <f>-148.4371745*(0.3)</f>
        <v>-44.531152349999999</v>
      </c>
      <c r="B612">
        <f>11.4182441923077*(0.3)</f>
        <v>3.4254732576923077</v>
      </c>
      <c r="C612">
        <f>34.2547325769231*(0.3)</f>
        <v>10.276419773076922</v>
      </c>
      <c r="D612">
        <f>11.4182441923077*(0.3)</f>
        <v>3.4254732576923077</v>
      </c>
      <c r="E612">
        <f>11.4182441923077*(0.3)</f>
        <v>3.4254732576923077</v>
      </c>
      <c r="F612">
        <f>11.4182441923077*(0.3)</f>
        <v>3.4254732576923077</v>
      </c>
      <c r="G612">
        <f>6.85094651538462*(0.3)</f>
        <v>2.0552839546153847</v>
      </c>
      <c r="H612">
        <f>11.4182441923077*(0.3)</f>
        <v>3.4254732576923077</v>
      </c>
      <c r="I612">
        <f>11.4182441923077*(0.3)</f>
        <v>3.4254732576923077</v>
      </c>
      <c r="J612">
        <f>-2.28364883846154*(0.3)</f>
        <v>-0.68509465153846139</v>
      </c>
      <c r="K612">
        <f>11.4182441923077*(0.3)</f>
        <v>3.4254732576923077</v>
      </c>
      <c r="L612">
        <f>5.59493965423077*(0.3)</f>
        <v>1.6784818962692307</v>
      </c>
      <c r="M612">
        <f>12.5600686115385*(0.3)</f>
        <v>3.768020583461539</v>
      </c>
      <c r="N612">
        <f>11.4182441923077*(0.3)</f>
        <v>3.4254732576923077</v>
      </c>
    </row>
    <row r="613" spans="1:14" x14ac:dyDescent="0.25">
      <c r="A613">
        <f>-56.87335875*(0.3)</f>
        <v>-17.062007625</v>
      </c>
      <c r="B613">
        <f>4.37487375*(0.3)</f>
        <v>1.3124621249999999</v>
      </c>
      <c r="C613">
        <f>13.12462125*(0.3)</f>
        <v>3.937386375</v>
      </c>
      <c r="D613">
        <f>4.37487375*(0.3)</f>
        <v>1.3124621249999999</v>
      </c>
      <c r="E613">
        <f>4.37487375*(0.3)</f>
        <v>1.3124621249999999</v>
      </c>
      <c r="F613">
        <f>4.37487375*(0.3)</f>
        <v>1.3124621249999999</v>
      </c>
      <c r="G613">
        <f>2.62492425*(0.3)</f>
        <v>0.78747727499999998</v>
      </c>
      <c r="H613">
        <f>4.37487375*(0.3)</f>
        <v>1.3124621249999999</v>
      </c>
      <c r="I613">
        <f>4.37487375*(0.3)</f>
        <v>1.3124621249999999</v>
      </c>
      <c r="J613">
        <f>-0.87497475*(0.3)</f>
        <v>-0.26249242499999992</v>
      </c>
      <c r="K613">
        <f>4.37487375*(0.3)</f>
        <v>1.3124621249999999</v>
      </c>
      <c r="L613">
        <f>2.1436881375*(0.3)</f>
        <v>0.64310644124999994</v>
      </c>
      <c r="M613">
        <f>4.812361125*(0.3)</f>
        <v>1.4437083375000002</v>
      </c>
      <c r="N613">
        <f>4.37487375*(0.3)</f>
        <v>1.3124621249999999</v>
      </c>
    </row>
    <row r="614" spans="1:14" x14ac:dyDescent="0.25">
      <c r="A614">
        <f>-186.6416548*(0.3)</f>
        <v>-55.992496439999996</v>
      </c>
      <c r="B614">
        <f>14.3570503692308*(0.3)</f>
        <v>4.3071151107692307</v>
      </c>
      <c r="C614">
        <f>43.0711511076923*(0.3)</f>
        <v>12.921345332307693</v>
      </c>
      <c r="D614">
        <f>14.3570503692308*(0.3)</f>
        <v>4.3071151107692307</v>
      </c>
      <c r="E614">
        <f>14.3570503692308*(0.3)</f>
        <v>4.3071151107692307</v>
      </c>
      <c r="F614">
        <f>14.3570503692308*(0.3)</f>
        <v>4.3071151107692307</v>
      </c>
      <c r="G614">
        <f>8.61423022153846*(0.3)</f>
        <v>2.5842690664615384</v>
      </c>
      <c r="H614">
        <f>14.3570503692308*(0.3)</f>
        <v>4.3071151107692307</v>
      </c>
      <c r="I614">
        <f>14.3570503692308*(0.3)</f>
        <v>4.3071151107692307</v>
      </c>
      <c r="J614">
        <f>-2.87141007384615*(0.3)</f>
        <v>-0.86142302215384592</v>
      </c>
      <c r="K614">
        <f>14.3570503692308*(0.3)</f>
        <v>4.3071151107692307</v>
      </c>
      <c r="L614">
        <f>7.03495468092308*(0.3)</f>
        <v>2.1104864042769229</v>
      </c>
      <c r="M614">
        <f>15.7927554061538*(0.3)</f>
        <v>4.7378266218461542</v>
      </c>
      <c r="N614">
        <f>14.3570503692308*(0.3)</f>
        <v>4.3071151107692307</v>
      </c>
    </row>
    <row r="615" spans="1:14" x14ac:dyDescent="0.25">
      <c r="A615">
        <f>-75.78992747*(0.3)</f>
        <v>-22.736978240999999</v>
      </c>
      <c r="B615">
        <f>5.82999442076923*(0.3)</f>
        <v>1.7489983262307691</v>
      </c>
      <c r="C615">
        <f>17.4899832623077*(0.3)</f>
        <v>5.2469949786923067</v>
      </c>
      <c r="D615">
        <f>5.82999442076923*(0.3)</f>
        <v>1.7489983262307691</v>
      </c>
      <c r="E615">
        <f>5.82999442076923*(0.3)</f>
        <v>1.7489983262307691</v>
      </c>
      <c r="F615">
        <f>5.82999442076923*(0.3)</f>
        <v>1.7489983262307691</v>
      </c>
      <c r="G615">
        <f>3.49799665246154*(0.3)</f>
        <v>1.0493989957384615</v>
      </c>
      <c r="H615">
        <f>5.82999442076923*(0.3)</f>
        <v>1.7489983262307691</v>
      </c>
      <c r="I615">
        <f>5.82999442076923*(0.3)</f>
        <v>1.7489983262307691</v>
      </c>
      <c r="J615">
        <f>-1.16599888415385*(0.3)</f>
        <v>-0.34979966524615375</v>
      </c>
      <c r="K615">
        <f>5.82999442076923*(0.3)</f>
        <v>1.7489983262307691</v>
      </c>
      <c r="L615">
        <f>2.85669726617692*(0.3)</f>
        <v>0.85700917985307679</v>
      </c>
      <c r="M615">
        <f>6.41299386284615*(0.3)</f>
        <v>1.923898158853846</v>
      </c>
      <c r="N615">
        <f>5.82999442076923*(0.3)</f>
        <v>1.7489983262307691</v>
      </c>
    </row>
    <row r="616" spans="1:14" x14ac:dyDescent="0.25">
      <c r="A616">
        <f>-223.1752735*(0.3)</f>
        <v>-66.952582050000004</v>
      </c>
      <c r="B616">
        <f>17.1673287307692*(0.3)</f>
        <v>5.1501986192307694</v>
      </c>
      <c r="C616">
        <f>51.5019861923077*(0.3)</f>
        <v>15.450595857692308</v>
      </c>
      <c r="D616">
        <f>17.1673287307692*(0.3)</f>
        <v>5.1501986192307694</v>
      </c>
      <c r="E616">
        <f>17.1673287307692*(0.3)</f>
        <v>5.1501986192307694</v>
      </c>
      <c r="F616">
        <f>17.1673287307692*(0.3)</f>
        <v>5.1501986192307694</v>
      </c>
      <c r="G616">
        <f>10.3003972384615*(0.3)</f>
        <v>3.0901191715384617</v>
      </c>
      <c r="H616">
        <f>17.1673287307692*(0.3)</f>
        <v>5.1501986192307694</v>
      </c>
      <c r="I616">
        <f>17.1673287307692*(0.3)</f>
        <v>5.1501986192307694</v>
      </c>
      <c r="J616">
        <f>-3.43346574615385*(0.3)</f>
        <v>-1.0300397238461536</v>
      </c>
      <c r="K616">
        <f>17.1673287307692*(0.3)</f>
        <v>5.1501986192307694</v>
      </c>
      <c r="L616">
        <f>8.41199107807692*(0.3)</f>
        <v>2.5235973234230769</v>
      </c>
      <c r="M616">
        <f>18.8840616038462*(0.3)</f>
        <v>5.6652184811538469</v>
      </c>
      <c r="N616">
        <f>17.1673287307692*(0.3)</f>
        <v>5.1501986192307694</v>
      </c>
    </row>
    <row r="617" spans="1:14" x14ac:dyDescent="0.25">
      <c r="A617">
        <f>-94.84262981*(0.3)</f>
        <v>-28.452788943000002</v>
      </c>
      <c r="B617">
        <f>7.29558690846154*(0.3)</f>
        <v>2.1886760725384615</v>
      </c>
      <c r="C617">
        <f>21.8867607253846*(0.3)</f>
        <v>6.5660282176153855</v>
      </c>
      <c r="D617">
        <f>7.29558690846154*(0.3)</f>
        <v>2.1886760725384615</v>
      </c>
      <c r="E617">
        <f>7.29558690846154*(0.3)</f>
        <v>2.1886760725384615</v>
      </c>
      <c r="F617">
        <f>7.29558690846154*(0.3)</f>
        <v>2.1886760725384615</v>
      </c>
      <c r="G617">
        <f>4.37735214507692*(0.3)</f>
        <v>1.3132056435230768</v>
      </c>
      <c r="H617">
        <f>7.29558690846154*(0.3)</f>
        <v>2.1886760725384615</v>
      </c>
      <c r="I617">
        <f>7.29558690846154*(0.3)</f>
        <v>2.1886760725384615</v>
      </c>
      <c r="J617">
        <f>-1.45911738169231*(0.3)</f>
        <v>-0.43773521450769226</v>
      </c>
      <c r="K617">
        <f>7.29558690846154*(0.3)</f>
        <v>2.1886760725384615</v>
      </c>
      <c r="L617">
        <f>3.57483758514615*(0.3)</f>
        <v>1.0724512755438462</v>
      </c>
      <c r="M617">
        <f>8.02514559930769*(0.3)</f>
        <v>2.4075436797923078</v>
      </c>
      <c r="N617">
        <f>7.29558690846154*(0.3)</f>
        <v>2.1886760725384615</v>
      </c>
    </row>
    <row r="618" spans="1:14" x14ac:dyDescent="0.25">
      <c r="A618">
        <f>-258.0477373*(0.3)</f>
        <v>-77.414321189999995</v>
      </c>
      <c r="B618">
        <f>19.8498259461538*(0.3)</f>
        <v>5.954947783846154</v>
      </c>
      <c r="C618">
        <f>59.5494778384615*(0.3)</f>
        <v>17.864843351538461</v>
      </c>
      <c r="D618">
        <f>19.8498259461538*(0.3)</f>
        <v>5.954947783846154</v>
      </c>
      <c r="E618">
        <f>19.8498259461538*(0.3)</f>
        <v>5.954947783846154</v>
      </c>
      <c r="F618">
        <f>19.8498259461538*(0.3)</f>
        <v>5.954947783846154</v>
      </c>
      <c r="G618">
        <f>11.9098955676923*(0.3)</f>
        <v>3.5729686703076924</v>
      </c>
      <c r="H618">
        <f>19.8498259461538*(0.3)</f>
        <v>5.954947783846154</v>
      </c>
      <c r="I618">
        <f>19.8498259461538*(0.3)</f>
        <v>5.954947783846154</v>
      </c>
      <c r="J618">
        <f>-3.96996518923077*(0.3)</f>
        <v>-1.1909895567692304</v>
      </c>
      <c r="K618">
        <f>19.8498259461538*(0.3)</f>
        <v>5.954947783846154</v>
      </c>
      <c r="L618">
        <f>9.72641471361538*(0.3)</f>
        <v>2.9179244140846152</v>
      </c>
      <c r="M618">
        <f>21.8348085407692*(0.3)</f>
        <v>6.5504425622307689</v>
      </c>
      <c r="N618">
        <f>19.8498259461538*(0.3)</f>
        <v>5.954947783846154</v>
      </c>
    </row>
    <row r="619" spans="1:14" x14ac:dyDescent="0.25">
      <c r="A619">
        <f>-117.1652727*(0.3)</f>
        <v>-35.149581810000001</v>
      </c>
      <c r="B619">
        <f>9.01271328461539*(0.3)</f>
        <v>2.7038139853846155</v>
      </c>
      <c r="C619">
        <f>27.0381398538462*(0.3)</f>
        <v>8.1114419561538451</v>
      </c>
      <c r="D619">
        <f>9.01271328461539*(0.3)</f>
        <v>2.7038139853846155</v>
      </c>
      <c r="E619">
        <f>9.01271328461539*(0.3)</f>
        <v>2.7038139853846155</v>
      </c>
      <c r="F619">
        <f>9.01271328461539*(0.3)</f>
        <v>2.7038139853846155</v>
      </c>
      <c r="G619">
        <f>5.40762797076923*(0.3)</f>
        <v>1.6222883912307693</v>
      </c>
      <c r="H619">
        <f>9.01271328461539*(0.3)</f>
        <v>2.7038139853846155</v>
      </c>
      <c r="I619">
        <f>9.01271328461539*(0.3)</f>
        <v>2.7038139853846155</v>
      </c>
      <c r="J619">
        <f>-1.80254265692308*(0.3)</f>
        <v>-0.54076279707692299</v>
      </c>
      <c r="K619">
        <f>9.01271328461539*(0.3)</f>
        <v>2.7038139853846155</v>
      </c>
      <c r="L619">
        <f>4.41622950946154*(0.3)</f>
        <v>1.3248688528384613</v>
      </c>
      <c r="M619">
        <f>9.91398461307693*(0.3)</f>
        <v>2.9741953839230777</v>
      </c>
      <c r="N619">
        <f>9.01271328461539*(0.3)</f>
        <v>2.7038139853846155</v>
      </c>
    </row>
    <row r="620" spans="1:14" x14ac:dyDescent="0.25">
      <c r="A620">
        <f>-297.3711105*(0.3)</f>
        <v>-89.211333149999987</v>
      </c>
      <c r="B620">
        <f>22.8747008076923*(0.3)</f>
        <v>6.8624102423076918</v>
      </c>
      <c r="C620">
        <f>68.6241024230769*(0.3)</f>
        <v>20.587230726923075</v>
      </c>
      <c r="D620">
        <f>22.8747008076923*(0.3)</f>
        <v>6.8624102423076918</v>
      </c>
      <c r="E620">
        <f>22.8747008076923*(0.3)</f>
        <v>6.8624102423076918</v>
      </c>
      <c r="F620">
        <f>22.8747008076923*(0.3)</f>
        <v>6.8624102423076918</v>
      </c>
      <c r="G620">
        <f>13.7248204846154*(0.3)</f>
        <v>4.1174461453846147</v>
      </c>
      <c r="H620">
        <f>22.8747008076923*(0.3)</f>
        <v>6.8624102423076918</v>
      </c>
      <c r="I620">
        <f>22.8747008076923*(0.3)</f>
        <v>6.8624102423076918</v>
      </c>
      <c r="J620">
        <f>-4.57494016153846*(0.3)</f>
        <v>-1.3724820484615381</v>
      </c>
      <c r="K620">
        <f>22.8747008076923*(0.3)</f>
        <v>6.8624102423076918</v>
      </c>
      <c r="L620">
        <f>11.2086033957692*(0.3)</f>
        <v>3.362581018730769</v>
      </c>
      <c r="M620">
        <f>25.1621708884615*(0.3)</f>
        <v>7.5486512665384611</v>
      </c>
      <c r="N620">
        <f>22.8747008076923*(0.3)</f>
        <v>6.8624102423076918</v>
      </c>
    </row>
    <row r="621" spans="1:14" x14ac:dyDescent="0.25">
      <c r="A621">
        <f>-140.0841905*(0.3)</f>
        <v>-42.025257150000002</v>
      </c>
      <c r="B621">
        <f>10.7757069615385*(0.3)</f>
        <v>3.2327120884615388</v>
      </c>
      <c r="C621">
        <f>32.3271208846154*(0.3)</f>
        <v>9.6981362653846173</v>
      </c>
      <c r="D621">
        <f>10.7757069615385*(0.3)</f>
        <v>3.2327120884615388</v>
      </c>
      <c r="E621">
        <f>10.7757069615385*(0.3)</f>
        <v>3.2327120884615388</v>
      </c>
      <c r="F621">
        <f>10.7757069615385*(0.3)</f>
        <v>3.2327120884615388</v>
      </c>
      <c r="G621">
        <f>6.46542417692308*(0.3)</f>
        <v>1.9396272530769232</v>
      </c>
      <c r="H621">
        <f>10.7757069615385*(0.3)</f>
        <v>3.2327120884615388</v>
      </c>
      <c r="I621">
        <f>10.7757069615385*(0.3)</f>
        <v>3.2327120884615388</v>
      </c>
      <c r="J621">
        <f>-2.15514139230769*(0.3)</f>
        <v>-0.64654241769230758</v>
      </c>
      <c r="K621">
        <f>10.7757069615385*(0.3)</f>
        <v>3.2327120884615388</v>
      </c>
      <c r="L621">
        <f>5.28009641115385*(0.3)</f>
        <v>1.584028923346154</v>
      </c>
      <c r="M621">
        <f>11.8532776576923*(0.3)</f>
        <v>3.555983297307693</v>
      </c>
      <c r="N621">
        <f>10.7757069615385*(0.3)</f>
        <v>3.2327120884615388</v>
      </c>
    </row>
    <row r="622" spans="1:14" x14ac:dyDescent="0.25">
      <c r="A622">
        <f>-332.7604566*(0.3)</f>
        <v>-99.828136979999996</v>
      </c>
      <c r="B622">
        <f>25.5969582*(0.3)</f>
        <v>7.6790874599999999</v>
      </c>
      <c r="C622">
        <f>76.7908746*(0.3)</f>
        <v>23.037262379999998</v>
      </c>
      <c r="D622">
        <f>25.5969582*(0.3)</f>
        <v>7.6790874599999999</v>
      </c>
      <c r="E622">
        <f>25.5969582*(0.3)</f>
        <v>7.6790874599999999</v>
      </c>
      <c r="F622">
        <f>25.5969582*(0.3)</f>
        <v>7.6790874599999999</v>
      </c>
      <c r="G622">
        <f>15.35817492*(0.3)</f>
        <v>4.6074524759999997</v>
      </c>
      <c r="H622">
        <f>25.5969582*(0.3)</f>
        <v>7.6790874599999999</v>
      </c>
      <c r="I622">
        <f>25.5969582*(0.3)</f>
        <v>7.6790874599999999</v>
      </c>
      <c r="J622">
        <f>-5.11939164*(0.3)</f>
        <v>-1.5358174919999996</v>
      </c>
      <c r="K622">
        <f>25.5969582*(0.3)</f>
        <v>7.6790874599999999</v>
      </c>
      <c r="L622">
        <f>12.542509518*(0.3)</f>
        <v>3.7627528553999996</v>
      </c>
      <c r="M622">
        <f>28.15665402*(0.3)</f>
        <v>8.4469962059999997</v>
      </c>
      <c r="N622">
        <f>25.5969582*(0.3)</f>
        <v>7.6790874599999999</v>
      </c>
    </row>
    <row r="623" spans="1:14" x14ac:dyDescent="0.25">
      <c r="A623">
        <f>-166.4137167*(0.3)</f>
        <v>-49.924115010000001</v>
      </c>
      <c r="B623">
        <f>12.8010551307692*(0.3)</f>
        <v>3.8403165392307694</v>
      </c>
      <c r="C623">
        <f>38.4031653923077*(0.3)</f>
        <v>11.52094961769231</v>
      </c>
      <c r="D623">
        <f>12.8010551307692*(0.3)</f>
        <v>3.8403165392307694</v>
      </c>
      <c r="E623">
        <f>12.8010551307692*(0.3)</f>
        <v>3.8403165392307694</v>
      </c>
      <c r="F623">
        <f>12.8010551307692*(0.3)</f>
        <v>3.8403165392307694</v>
      </c>
      <c r="G623">
        <f>7.68063307846154*(0.3)</f>
        <v>2.3041899235384617</v>
      </c>
      <c r="H623">
        <f>12.8010551307692*(0.3)</f>
        <v>3.8403165392307694</v>
      </c>
      <c r="I623">
        <f>12.8010551307692*(0.3)</f>
        <v>3.8403165392307694</v>
      </c>
      <c r="J623">
        <f>-2.56021102615385*(0.3)</f>
        <v>-0.76806330784615373</v>
      </c>
      <c r="K623">
        <f>12.8010551307692*(0.3)</f>
        <v>3.8403165392307694</v>
      </c>
      <c r="L623">
        <f>6.27251701407692*(0.3)</f>
        <v>1.8817551042230769</v>
      </c>
      <c r="M623">
        <f>14.0811606438462*(0.3)</f>
        <v>4.2243481931538467</v>
      </c>
      <c r="N623">
        <f>12.8010551307692*(0.3)</f>
        <v>3.8403165392307694</v>
      </c>
    </row>
    <row r="624" spans="1:14" x14ac:dyDescent="0.25">
      <c r="A624">
        <f>-369.6254209*(0.3)</f>
        <v>-110.88762627</v>
      </c>
      <c r="B624">
        <f>28.4327246846154*(0.3)</f>
        <v>8.5298174053846143</v>
      </c>
      <c r="C624">
        <f>85.2981740538462*(0.3)</f>
        <v>25.589452216153845</v>
      </c>
      <c r="D624">
        <f>28.4327246846154*(0.3)</f>
        <v>8.5298174053846143</v>
      </c>
      <c r="E624">
        <f>28.4327246846154*(0.3)</f>
        <v>8.5298174053846143</v>
      </c>
      <c r="F624">
        <f>28.4327246846154*(0.3)</f>
        <v>8.5298174053846143</v>
      </c>
      <c r="G624">
        <f>17.0596348107692*(0.3)</f>
        <v>5.1178904432307686</v>
      </c>
      <c r="H624">
        <f>28.4327246846154*(0.3)</f>
        <v>8.5298174053846143</v>
      </c>
      <c r="I624">
        <f>28.4327246846154*(0.3)</f>
        <v>8.5298174053846143</v>
      </c>
      <c r="J624">
        <f>-5.68654493692308*(0.3)</f>
        <v>-1.7059634810769226</v>
      </c>
      <c r="K624">
        <f>28.4327246846154*(0.3)</f>
        <v>8.5298174053846143</v>
      </c>
      <c r="L624">
        <f>13.9320350954615*(0.3)</f>
        <v>4.1796105286384613</v>
      </c>
      <c r="M624">
        <f>31.2759971530769*(0.3)</f>
        <v>9.3827991459230766</v>
      </c>
      <c r="N624">
        <f>28.4327246846154*(0.3)</f>
        <v>8.5298174053846143</v>
      </c>
    </row>
    <row r="625" spans="1:14" x14ac:dyDescent="0.25">
      <c r="A625">
        <f>-3.782252135*(0.3)</f>
        <v>-1.1346756404999998</v>
      </c>
      <c r="B625">
        <f>0.290942471923077*(0.3)</f>
        <v>8.7282741576923076E-2</v>
      </c>
      <c r="C625">
        <f>0.872827415769231*(0.3)</f>
        <v>0.26184822473076924</v>
      </c>
      <c r="D625">
        <f>0.290942471923077*(0.3)</f>
        <v>8.7282741576923076E-2</v>
      </c>
      <c r="E625">
        <f>0.290942471923077*(0.3)</f>
        <v>8.7282741576923076E-2</v>
      </c>
      <c r="F625">
        <f>0.290942471923077*(0.3)</f>
        <v>8.7282741576923076E-2</v>
      </c>
      <c r="G625">
        <f>0.174565483153846*(0.3)</f>
        <v>5.2369644946153843E-2</v>
      </c>
      <c r="H625">
        <f>0.290942471923077*(0.3)</f>
        <v>8.7282741576923076E-2</v>
      </c>
      <c r="I625">
        <f>0.290942471923077*(0.3)</f>
        <v>8.7282741576923076E-2</v>
      </c>
      <c r="J625">
        <f>-0.0581884943846154*(0.3)</f>
        <v>-1.7456548315384613E-2</v>
      </c>
      <c r="K625">
        <f>0.290942471923077*(0.3)</f>
        <v>8.7282741576923076E-2</v>
      </c>
      <c r="L625">
        <f>0.142561811242308*(0.3)</f>
        <v>4.2768543372692307E-2</v>
      </c>
      <c r="M625">
        <f>0.320036719115385*(0.3)</f>
        <v>9.6011015734615401E-2</v>
      </c>
      <c r="N625">
        <f>0.290942471923077*(0.3)</f>
        <v>8.7282741576923076E-2</v>
      </c>
    </row>
    <row r="626" spans="1:14" x14ac:dyDescent="0.25">
      <c r="A626">
        <f>-120.8566477*(0.3)</f>
        <v>-36.256994309999996</v>
      </c>
      <c r="B626">
        <f>9.29666520769231*(0.3)</f>
        <v>2.788999562307692</v>
      </c>
      <c r="C626">
        <f>27.8899956230769*(0.3)</f>
        <v>8.3669986869230755</v>
      </c>
      <c r="D626">
        <f>9.29666520769231*(0.3)</f>
        <v>2.788999562307692</v>
      </c>
      <c r="E626">
        <f>9.29666520769231*(0.3)</f>
        <v>2.788999562307692</v>
      </c>
      <c r="F626">
        <f>9.29666520769231*(0.3)</f>
        <v>2.788999562307692</v>
      </c>
      <c r="G626">
        <f>5.57799912461538*(0.3)</f>
        <v>1.6733997373846152</v>
      </c>
      <c r="H626">
        <f>9.29666520769231*(0.3)</f>
        <v>2.788999562307692</v>
      </c>
      <c r="I626">
        <f>9.29666520769231*(0.3)</f>
        <v>2.788999562307692</v>
      </c>
      <c r="J626">
        <f>-1.85933304153846*(0.3)</f>
        <v>-0.55779991246153826</v>
      </c>
      <c r="K626">
        <f>9.29666520769231*(0.3)</f>
        <v>2.788999562307692</v>
      </c>
      <c r="L626">
        <f>4.55536595176923*(0.3)</f>
        <v>1.3666097855307691</v>
      </c>
      <c r="M626">
        <f>10.2263317284615*(0.3)</f>
        <v>3.0678995185384612</v>
      </c>
      <c r="N626">
        <f>9.29666520769231*(0.3)</f>
        <v>2.788999562307692</v>
      </c>
    </row>
    <row r="627" spans="1:14" x14ac:dyDescent="0.25">
      <c r="A627">
        <f>-4.532051597*(0.3)</f>
        <v>-1.3596154790999999</v>
      </c>
      <c r="B627">
        <f>0.348619353615385*(0.3)</f>
        <v>0.10458580608461537</v>
      </c>
      <c r="C627">
        <f>1.04585806084615*(0.3)</f>
        <v>0.31375741825384612</v>
      </c>
      <c r="D627">
        <f>0.348619353615385*(0.3)</f>
        <v>0.10458580608461537</v>
      </c>
      <c r="E627">
        <f>0.348619353615385*(0.3)</f>
        <v>0.10458580608461537</v>
      </c>
      <c r="F627">
        <f>0.348619353615385*(0.3)</f>
        <v>0.10458580608461537</v>
      </c>
      <c r="G627">
        <f>0.209171612169231*(0.3)</f>
        <v>6.2751483650769227E-2</v>
      </c>
      <c r="H627">
        <f>0.348619353615385*(0.3)</f>
        <v>0.10458580608461537</v>
      </c>
      <c r="I627">
        <f>0.348619353615385*(0.3)</f>
        <v>0.10458580608461537</v>
      </c>
      <c r="J627">
        <f>-0.0697238707230769*(0.3)</f>
        <v>-2.091716121692307E-2</v>
      </c>
      <c r="K627">
        <f>0.348619353615385*(0.3)</f>
        <v>0.10458580608461537</v>
      </c>
      <c r="L627">
        <f>0.170823483271538*(0.3)</f>
        <v>5.1247044981461536E-2</v>
      </c>
      <c r="M627">
        <f>0.383481288976923*(0.3)</f>
        <v>0.11504438669307691</v>
      </c>
      <c r="N627">
        <f>0.348619353615385*(0.3)</f>
        <v>0.10458580608461537</v>
      </c>
    </row>
    <row r="628" spans="1:14" x14ac:dyDescent="0.25">
      <c r="A628">
        <f>-157.716807*(0.3)</f>
        <v>-47.315042099999992</v>
      </c>
      <c r="B628">
        <f>12.1320620769231*(0.3)</f>
        <v>3.6396186230769225</v>
      </c>
      <c r="C628">
        <f>36.3961862307692*(0.3)</f>
        <v>10.918855869230766</v>
      </c>
      <c r="D628">
        <f>12.1320620769231*(0.3)</f>
        <v>3.6396186230769225</v>
      </c>
      <c r="E628">
        <f>12.1320620769231*(0.3)</f>
        <v>3.6396186230769225</v>
      </c>
      <c r="F628">
        <f>12.1320620769231*(0.3)</f>
        <v>3.6396186230769225</v>
      </c>
      <c r="G628">
        <f>7.27923724615385*(0.3)</f>
        <v>2.1837711738461536</v>
      </c>
      <c r="H628">
        <f>12.1320620769231*(0.3)</f>
        <v>3.6396186230769225</v>
      </c>
      <c r="I628">
        <f>12.1320620769231*(0.3)</f>
        <v>3.6396186230769225</v>
      </c>
      <c r="J628">
        <f>-2.42641241538461*(0.3)</f>
        <v>-0.72792372461538435</v>
      </c>
      <c r="K628">
        <f>12.1320620769231*(0.3)</f>
        <v>3.6396186230769225</v>
      </c>
      <c r="L628">
        <f>5.94471041769231*(0.3)</f>
        <v>1.7834131253076921</v>
      </c>
      <c r="M628">
        <f>13.3452682846154*(0.3)</f>
        <v>4.0035804853846155</v>
      </c>
      <c r="N628">
        <f>12.1320620769231*(0.3)</f>
        <v>3.6396186230769225</v>
      </c>
    </row>
    <row r="629" spans="1:14" x14ac:dyDescent="0.25">
      <c r="A629">
        <f>-7.413153061*(0.3)</f>
        <v>-2.2239459183000001</v>
      </c>
      <c r="B629">
        <f>0.570242543153846*(0.3)</f>
        <v>0.17107276294615384</v>
      </c>
      <c r="C629">
        <f>1.71072762946154*(0.3)</f>
        <v>0.51321828883846143</v>
      </c>
      <c r="D629">
        <f>0.570242543153846*(0.3)</f>
        <v>0.17107276294615384</v>
      </c>
      <c r="E629">
        <f>0.570242543153846*(0.3)</f>
        <v>0.17107276294615384</v>
      </c>
      <c r="F629">
        <f>0.570242543153846*(0.3)</f>
        <v>0.17107276294615384</v>
      </c>
      <c r="G629">
        <f>0.342145525892308*(0.3)</f>
        <v>0.1026436577676923</v>
      </c>
      <c r="H629">
        <f>0.570242543153846*(0.3)</f>
        <v>0.17107276294615384</v>
      </c>
      <c r="I629">
        <f>0.570242543153846*(0.3)</f>
        <v>0.17107276294615384</v>
      </c>
      <c r="J629">
        <f>-0.114048508630769*(0.3)</f>
        <v>-3.4214552589230764E-2</v>
      </c>
      <c r="K629">
        <f>0.570242543153846*(0.3)</f>
        <v>0.17107276294615384</v>
      </c>
      <c r="L629">
        <f>0.279418846145385*(0.3)</f>
        <v>8.3825653843615372E-2</v>
      </c>
      <c r="M629">
        <f>0.627266797469231*(0.3)</f>
        <v>0.18818003924076926</v>
      </c>
      <c r="N629">
        <f>0.570242543153846*(0.3)</f>
        <v>0.17107276294615384</v>
      </c>
    </row>
    <row r="630" spans="1:14" x14ac:dyDescent="0.25">
      <c r="A630">
        <f>-200.6543049*(0.3)</f>
        <v>-60.196291469999998</v>
      </c>
      <c r="B630">
        <f>15.4349465307692*(0.3)</f>
        <v>4.6304839592307694</v>
      </c>
      <c r="C630">
        <f>46.3048395923077*(0.3)</f>
        <v>13.891451877692308</v>
      </c>
      <c r="D630">
        <f>15.4349465307692*(0.3)</f>
        <v>4.6304839592307694</v>
      </c>
      <c r="E630">
        <f>15.4349465307692*(0.3)</f>
        <v>4.6304839592307694</v>
      </c>
      <c r="F630">
        <f>15.4349465307692*(0.3)</f>
        <v>4.6304839592307694</v>
      </c>
      <c r="G630">
        <f>9.26096791846154*(0.3)</f>
        <v>2.7782903755384614</v>
      </c>
      <c r="H630">
        <f>15.4349465307692*(0.3)</f>
        <v>4.6304839592307694</v>
      </c>
      <c r="I630">
        <f>15.4349465307692*(0.3)</f>
        <v>4.6304839592307694</v>
      </c>
      <c r="J630">
        <f>-3.08698930615385*(0.3)</f>
        <v>-0.92609679184615357</v>
      </c>
      <c r="K630">
        <f>15.4349465307692*(0.3)</f>
        <v>4.6304839592307694</v>
      </c>
      <c r="L630">
        <f>7.56312380007692*(0.3)</f>
        <v>2.2689371400230769</v>
      </c>
      <c r="M630">
        <f>16.9784411838462*(0.3)</f>
        <v>5.0935323551538465</v>
      </c>
      <c r="N630">
        <f>15.4349465307692*(0.3)</f>
        <v>4.6304839592307694</v>
      </c>
    </row>
    <row r="631" spans="1:14" x14ac:dyDescent="0.25">
      <c r="A631">
        <f>-6.913176696*(0.3)</f>
        <v>-2.0739530087999998</v>
      </c>
      <c r="B631">
        <f>0.531782822769231*(0.3)</f>
        <v>0.15953484683076921</v>
      </c>
      <c r="C631">
        <f>1.59534846830769*(0.3)</f>
        <v>0.47860454049230761</v>
      </c>
      <c r="D631">
        <f>0.531782822769231*(0.3)</f>
        <v>0.15953484683076921</v>
      </c>
      <c r="E631">
        <f>0.531782822769231*(0.3)</f>
        <v>0.15953484683076921</v>
      </c>
      <c r="F631">
        <f>0.531782822769231*(0.3)</f>
        <v>0.15953484683076921</v>
      </c>
      <c r="G631">
        <f>0.319069693661538*(0.3)</f>
        <v>9.5720908098461524E-2</v>
      </c>
      <c r="H631">
        <f>0.531782822769231*(0.3)</f>
        <v>0.15953484683076921</v>
      </c>
      <c r="I631">
        <f>0.531782822769231*(0.3)</f>
        <v>0.15953484683076921</v>
      </c>
      <c r="J631">
        <f>-0.106356564553846*(0.3)</f>
        <v>-3.1906969366153837E-2</v>
      </c>
      <c r="K631">
        <f>0.531782822769231*(0.3)</f>
        <v>0.15953484683076921</v>
      </c>
      <c r="L631">
        <f>0.260573583156923*(0.3)</f>
        <v>7.8172074947076911E-2</v>
      </c>
      <c r="M631">
        <f>0.584961105046154*(0.3)</f>
        <v>0.17548833151384616</v>
      </c>
      <c r="N631">
        <f>0.531782822769231*(0.3)</f>
        <v>0.15953484683076921</v>
      </c>
    </row>
    <row r="632" spans="1:14" x14ac:dyDescent="0.25">
      <c r="A632">
        <f>-234.8819625*(0.3)</f>
        <v>-70.46458874999999</v>
      </c>
      <c r="B632">
        <f>18.0678432692308*(0.3)</f>
        <v>5.4203529807692297</v>
      </c>
      <c r="C632">
        <f>54.2035298076923*(0.3)</f>
        <v>16.261058942307692</v>
      </c>
      <c r="D632">
        <f>18.0678432692308*(0.3)</f>
        <v>5.4203529807692297</v>
      </c>
      <c r="E632">
        <f>18.0678432692308*(0.3)</f>
        <v>5.4203529807692297</v>
      </c>
      <c r="F632">
        <f>18.0678432692308*(0.3)</f>
        <v>5.4203529807692297</v>
      </c>
      <c r="G632">
        <f>10.8407059615385*(0.3)</f>
        <v>3.2522117884615378</v>
      </c>
      <c r="H632">
        <f>18.0678432692308*(0.3)</f>
        <v>5.4203529807692297</v>
      </c>
      <c r="I632">
        <f>18.0678432692308*(0.3)</f>
        <v>5.4203529807692297</v>
      </c>
      <c r="J632">
        <f>-3.61356865384615*(0.3)</f>
        <v>-1.0840705961538457</v>
      </c>
      <c r="K632">
        <f>18.0678432692308*(0.3)</f>
        <v>5.4203529807692297</v>
      </c>
      <c r="L632">
        <f>8.85324320192308*(0.3)</f>
        <v>2.6559729605769227</v>
      </c>
      <c r="M632">
        <f>19.8746275961538*(0.3)</f>
        <v>5.962388278846154</v>
      </c>
      <c r="N632">
        <f>18.0678432692308*(0.3)</f>
        <v>5.4203529807692297</v>
      </c>
    </row>
    <row r="633" spans="1:14" x14ac:dyDescent="0.25">
      <c r="A633">
        <f>-12.4221725*(0.3)</f>
        <v>-3.7266517499999998</v>
      </c>
      <c r="B633">
        <f>0.955551730769231*(0.3)</f>
        <v>0.28666551923076922</v>
      </c>
      <c r="C633">
        <f>2.86665519230769*(0.3)</f>
        <v>0.85999655769230776</v>
      </c>
      <c r="D633">
        <f>0.955551730769231*(0.3)</f>
        <v>0.28666551923076922</v>
      </c>
      <c r="E633">
        <f>0.955551730769231*(0.3)</f>
        <v>0.28666551923076922</v>
      </c>
      <c r="F633">
        <f>0.955551730769231*(0.3)</f>
        <v>0.28666551923076922</v>
      </c>
      <c r="G633">
        <f>0.573331038461538*(0.3)</f>
        <v>0.17199931153846151</v>
      </c>
      <c r="H633">
        <f>0.955551730769231*(0.3)</f>
        <v>0.28666551923076922</v>
      </c>
      <c r="I633">
        <f>0.955551730769231*(0.3)</f>
        <v>0.28666551923076922</v>
      </c>
      <c r="J633">
        <f>-0.191110346153846*(0.3)</f>
        <v>-5.7333103846153831E-2</v>
      </c>
      <c r="K633">
        <f>0.955551730769231*(0.3)</f>
        <v>0.28666551923076922</v>
      </c>
      <c r="L633">
        <f>0.468220348076923*(0.3)</f>
        <v>0.14046610442307692</v>
      </c>
      <c r="M633">
        <f>1.05110690384615*(0.3)</f>
        <v>0.31533207115384621</v>
      </c>
      <c r="N633">
        <f>0.955551730769231*(0.3)</f>
        <v>0.28666551923076922</v>
      </c>
    </row>
    <row r="634" spans="1:14" x14ac:dyDescent="0.25">
      <c r="A634">
        <f>-276.3205436*(0.3)</f>
        <v>-82.896163079999994</v>
      </c>
      <c r="B634">
        <f>21.2554264307692*(0.3)</f>
        <v>6.3766279292307688</v>
      </c>
      <c r="C634">
        <f>63.7662792923077*(0.3)</f>
        <v>19.129883787692304</v>
      </c>
      <c r="D634">
        <f>21.2554264307692*(0.3)</f>
        <v>6.3766279292307688</v>
      </c>
      <c r="E634">
        <f>21.2554264307692*(0.3)</f>
        <v>6.3766279292307688</v>
      </c>
      <c r="F634">
        <f>21.2554264307692*(0.3)</f>
        <v>6.3766279292307688</v>
      </c>
      <c r="G634">
        <f>12.7532558584615*(0.3)</f>
        <v>3.8259767575384611</v>
      </c>
      <c r="H634">
        <f>21.2554264307692*(0.3)</f>
        <v>6.3766279292307688</v>
      </c>
      <c r="I634">
        <f>21.2554264307692*(0.3)</f>
        <v>6.3766279292307688</v>
      </c>
      <c r="J634">
        <f>-4.25108528615385*(0.3)</f>
        <v>-1.2753255858461536</v>
      </c>
      <c r="K634">
        <f>21.2554264307692*(0.3)</f>
        <v>6.3766279292307688</v>
      </c>
      <c r="L634">
        <f>10.4151589510769*(0.3)</f>
        <v>3.1245476853230767</v>
      </c>
      <c r="M634">
        <f>23.3809690738462*(0.3)</f>
        <v>7.0142907221538469</v>
      </c>
      <c r="N634">
        <f>21.2554264307692*(0.3)</f>
        <v>6.3766279292307688</v>
      </c>
    </row>
    <row r="635" spans="1:14" x14ac:dyDescent="0.25">
      <c r="A635">
        <f>-13.75612601*(0.3)</f>
        <v>-4.1268378029999999</v>
      </c>
      <c r="B635">
        <f>1.05816353923077*(0.3)</f>
        <v>0.31744906176923071</v>
      </c>
      <c r="C635">
        <f>3.17449061769231*(0.3)</f>
        <v>0.95234718530769225</v>
      </c>
      <c r="D635">
        <f>1.05816353923077*(0.3)</f>
        <v>0.31744906176923071</v>
      </c>
      <c r="E635">
        <f>1.05816353923077*(0.3)</f>
        <v>0.31744906176923071</v>
      </c>
      <c r="F635">
        <f>1.05816353923077*(0.3)</f>
        <v>0.31744906176923071</v>
      </c>
      <c r="G635">
        <f>0.634898123538461*(0.3)</f>
        <v>0.19046943706153843</v>
      </c>
      <c r="H635">
        <f>1.05816353923077*(0.3)</f>
        <v>0.31744906176923071</v>
      </c>
      <c r="I635">
        <f>1.05816353923077*(0.3)</f>
        <v>0.31744906176923071</v>
      </c>
      <c r="J635">
        <f>-0.211632707846154*(0.3)</f>
        <v>-6.348981235384614E-2</v>
      </c>
      <c r="K635">
        <f>1.05816353923077*(0.3)</f>
        <v>0.31744906176923071</v>
      </c>
      <c r="L635">
        <f>0.518500134223077*(0.3)</f>
        <v>0.15555004026692304</v>
      </c>
      <c r="M635">
        <f>1.16397989315385*(0.3)</f>
        <v>0.34919396794615382</v>
      </c>
      <c r="N635">
        <f>1.05816353923077*(0.3)</f>
        <v>0.31744906176923071</v>
      </c>
    </row>
    <row r="636" spans="1:14" x14ac:dyDescent="0.25">
      <c r="A636">
        <f>-315.9350054*(0.3)</f>
        <v>-94.78050162000001</v>
      </c>
      <c r="B636">
        <f>24.3026927230769*(0.3)</f>
        <v>7.2908078169230768</v>
      </c>
      <c r="C636">
        <f>72.9080781692308*(0.3)</f>
        <v>21.872423450769233</v>
      </c>
      <c r="D636">
        <f>24.3026927230769*(0.3)</f>
        <v>7.2908078169230768</v>
      </c>
      <c r="E636">
        <f>24.3026927230769*(0.3)</f>
        <v>7.2908078169230768</v>
      </c>
      <c r="F636">
        <f>24.3026927230769*(0.3)</f>
        <v>7.2908078169230768</v>
      </c>
      <c r="G636">
        <f>14.5816156338462*(0.3)</f>
        <v>4.3744846901538459</v>
      </c>
      <c r="H636">
        <f>24.3026927230769*(0.3)</f>
        <v>7.2908078169230768</v>
      </c>
      <c r="I636">
        <f>24.3026927230769*(0.3)</f>
        <v>7.2908078169230768</v>
      </c>
      <c r="J636">
        <f>-4.86053854461538*(0.3)</f>
        <v>-1.4581615633846152</v>
      </c>
      <c r="K636">
        <f>24.3026927230769*(0.3)</f>
        <v>7.2908078169230768</v>
      </c>
      <c r="L636">
        <f>11.9083194343077*(0.3)</f>
        <v>3.5724958302923078</v>
      </c>
      <c r="M636">
        <f>26.7329619953846*(0.3)</f>
        <v>8.0198885986153847</v>
      </c>
      <c r="N636">
        <f>24.3026927230769*(0.3)</f>
        <v>7.2908078169230768</v>
      </c>
    </row>
    <row r="637" spans="1:14" x14ac:dyDescent="0.25">
      <c r="A637">
        <f>-19.11463693*(0.3)</f>
        <v>-5.7343910789999999</v>
      </c>
      <c r="B637">
        <f>1.47035668692308*(0.3)</f>
        <v>0.44110700607692305</v>
      </c>
      <c r="C637">
        <f>4.41107006076923*(0.3)</f>
        <v>1.3233210182307691</v>
      </c>
      <c r="D637">
        <f>1.47035668692308*(0.3)</f>
        <v>0.44110700607692305</v>
      </c>
      <c r="E637">
        <f>1.47035668692308*(0.3)</f>
        <v>0.44110700607692305</v>
      </c>
      <c r="F637">
        <f>1.47035668692308*(0.3)</f>
        <v>0.44110700607692305</v>
      </c>
      <c r="G637">
        <f>0.882214012153846*(0.3)</f>
        <v>0.26466420364615384</v>
      </c>
      <c r="H637">
        <f>1.47035668692308*(0.3)</f>
        <v>0.44110700607692305</v>
      </c>
      <c r="I637">
        <f>1.47035668692308*(0.3)</f>
        <v>0.44110700607692305</v>
      </c>
      <c r="J637">
        <f>-0.294071337384615*(0.3)</f>
        <v>-8.822140121538459E-2</v>
      </c>
      <c r="K637">
        <f>1.47035668692308*(0.3)</f>
        <v>0.44110700607692305</v>
      </c>
      <c r="L637">
        <f>0.720474776592308*(0.3)</f>
        <v>0.21614243297769228</v>
      </c>
      <c r="M637">
        <f>1.61739235561538*(0.3)</f>
        <v>0.48521770668461539</v>
      </c>
      <c r="N637">
        <f>1.47035668692308*(0.3)</f>
        <v>0.44110700607692305</v>
      </c>
    </row>
    <row r="638" spans="1:14" x14ac:dyDescent="0.25">
      <c r="A638">
        <f>-356.7394225*(0.3)</f>
        <v>-107.02182674999999</v>
      </c>
      <c r="B638">
        <f>27.4414940384615*(0.3)</f>
        <v>8.2324482115384612</v>
      </c>
      <c r="C638">
        <f>82.3244821153846*(0.3)</f>
        <v>24.697344634615384</v>
      </c>
      <c r="D638">
        <f>27.4414940384615*(0.3)</f>
        <v>8.2324482115384612</v>
      </c>
      <c r="E638">
        <f>27.4414940384615*(0.3)</f>
        <v>8.2324482115384612</v>
      </c>
      <c r="F638">
        <f>27.4414940384615*(0.3)</f>
        <v>8.2324482115384612</v>
      </c>
      <c r="G638">
        <f>16.4648964230769*(0.3)</f>
        <v>4.9394689269230767</v>
      </c>
      <c r="H638">
        <f>27.4414940384615*(0.3)</f>
        <v>8.2324482115384612</v>
      </c>
      <c r="I638">
        <f>27.4414940384615*(0.3)</f>
        <v>8.2324482115384612</v>
      </c>
      <c r="J638">
        <f>-5.48829880769231*(0.3)</f>
        <v>-1.6464896423076918</v>
      </c>
      <c r="K638">
        <f>27.4414940384615*(0.3)</f>
        <v>8.2324482115384612</v>
      </c>
      <c r="L638">
        <f>13.4463320788462*(0.3)</f>
        <v>4.0338996236538458</v>
      </c>
      <c r="M638">
        <f>30.1856434423077*(0.3)</f>
        <v>9.0556930326923073</v>
      </c>
      <c r="N638">
        <f>27.4414940384615*(0.3)</f>
        <v>8.2324482115384612</v>
      </c>
    </row>
    <row r="639" spans="1:14" x14ac:dyDescent="0.25">
      <c r="A639">
        <f>-18.58827052*(0.3)</f>
        <v>-5.5764811559999989</v>
      </c>
      <c r="B639">
        <f>1.42986696307692*(0.3)</f>
        <v>0.42896008892307685</v>
      </c>
      <c r="C639">
        <f>4.28960088923077*(0.3)</f>
        <v>1.2868802667692307</v>
      </c>
      <c r="D639">
        <f>1.42986696307692*(0.3)</f>
        <v>0.42896008892307685</v>
      </c>
      <c r="E639">
        <f>1.42986696307692*(0.3)</f>
        <v>0.42896008892307685</v>
      </c>
      <c r="F639">
        <f>1.42986696307692*(0.3)</f>
        <v>0.42896008892307685</v>
      </c>
      <c r="G639">
        <f>0.857920177846154*(0.3)</f>
        <v>0.25737605335384611</v>
      </c>
      <c r="H639">
        <f>1.42986696307692*(0.3)</f>
        <v>0.42896008892307685</v>
      </c>
      <c r="I639">
        <f>1.42986696307692*(0.3)</f>
        <v>0.42896008892307685</v>
      </c>
      <c r="J639">
        <f>-0.285973392615385*(0.3)</f>
        <v>-8.5792017784615357E-2</v>
      </c>
      <c r="K639">
        <f>1.42986696307692*(0.3)</f>
        <v>0.42896008892307685</v>
      </c>
      <c r="L639">
        <f>0.700634811907692*(0.3)</f>
        <v>0.21019044357230768</v>
      </c>
      <c r="M639">
        <f>1.57285365938462*(0.3)</f>
        <v>0.47185609781538462</v>
      </c>
      <c r="N639">
        <f>1.42986696307692*(0.3)</f>
        <v>0.42896008892307685</v>
      </c>
    </row>
    <row r="640" spans="1:14" x14ac:dyDescent="0.25">
      <c r="A640">
        <f>-395.8530025*(0.3)</f>
        <v>-118.75590075</v>
      </c>
      <c r="B640">
        <f>30.4502309615385*(0.3)</f>
        <v>9.1350692884615388</v>
      </c>
      <c r="C640">
        <f>91.3506928846154*(0.3)</f>
        <v>27.405207865384615</v>
      </c>
      <c r="D640">
        <f>30.4502309615385*(0.3)</f>
        <v>9.1350692884615388</v>
      </c>
      <c r="E640">
        <f>30.4502309615385*(0.3)</f>
        <v>9.1350692884615388</v>
      </c>
      <c r="F640">
        <f>30.4502309615385*(0.3)</f>
        <v>9.1350692884615388</v>
      </c>
      <c r="G640">
        <f>18.2701385769231*(0.3)</f>
        <v>5.4810415730769231</v>
      </c>
      <c r="H640">
        <f>30.4502309615385*(0.3)</f>
        <v>9.1350692884615388</v>
      </c>
      <c r="I640">
        <f>30.4502309615385*(0.3)</f>
        <v>9.1350692884615388</v>
      </c>
      <c r="J640">
        <f>-6.09004619230769*(0.3)</f>
        <v>-1.8270138576923072</v>
      </c>
      <c r="K640">
        <f>30.4502309615385*(0.3)</f>
        <v>9.1350692884615388</v>
      </c>
      <c r="L640">
        <f>14.9206131711538*(0.3)</f>
        <v>4.4761839513461537</v>
      </c>
      <c r="M640">
        <f>33.4952540576923*(0.3)</f>
        <v>10.048576217307694</v>
      </c>
      <c r="N640">
        <f>30.4502309615385*(0.3)</f>
        <v>9.1350692884615388</v>
      </c>
    </row>
    <row r="641" spans="1:14" x14ac:dyDescent="0.25">
      <c r="A641">
        <f>-4.773670589*(0.3)</f>
        <v>-1.4321011767</v>
      </c>
      <c r="B641">
        <f>0.367205429923077*(0.3)</f>
        <v>0.11016162897692307</v>
      </c>
      <c r="C641">
        <f>1.10161628976923*(0.3)</f>
        <v>0.33048488693076922</v>
      </c>
      <c r="D641">
        <f>0.367205429923077*(0.3)</f>
        <v>0.11016162897692307</v>
      </c>
      <c r="E641">
        <f>0.367205429923077*(0.3)</f>
        <v>0.11016162897692307</v>
      </c>
      <c r="F641">
        <f>0.367205429923077*(0.3)</f>
        <v>0.11016162897692307</v>
      </c>
      <c r="G641">
        <f>0.220323257953846*(0.3)</f>
        <v>6.6096977386153832E-2</v>
      </c>
      <c r="H641">
        <f>0.367205429923077*(0.3)</f>
        <v>0.11016162897692307</v>
      </c>
      <c r="I641">
        <f>0.367205429923077*(0.3)</f>
        <v>0.11016162897692307</v>
      </c>
      <c r="J641">
        <f>-0.0734410859846154*(0.3)</f>
        <v>-2.2032325795384607E-2</v>
      </c>
      <c r="K641">
        <f>0.367205429923077*(0.3)</f>
        <v>0.11016162897692307</v>
      </c>
      <c r="L641">
        <f>0.179930660662308*(0.3)</f>
        <v>5.3979198198692312E-2</v>
      </c>
      <c r="M641">
        <f>0.403925972915385*(0.3)</f>
        <v>0.12117779187461539</v>
      </c>
      <c r="N641">
        <f>0.367205429923077*(0.3)</f>
        <v>0.11016162897692307</v>
      </c>
    </row>
    <row r="642" spans="1:14" x14ac:dyDescent="0.25">
      <c r="A642">
        <f>-1.481144565*(0.3)</f>
        <v>-0.44434336949999997</v>
      </c>
      <c r="B642">
        <f>0.113934197307692*(0.3)</f>
        <v>3.4180259192307688E-2</v>
      </c>
      <c r="C642">
        <f>0.341802591923077*(0.3)</f>
        <v>0.10254077757692308</v>
      </c>
      <c r="D642">
        <f>0.113934197307692*(0.3)</f>
        <v>3.4180259192307688E-2</v>
      </c>
      <c r="E642">
        <f>0.113934197307692*(0.3)</f>
        <v>3.4180259192307688E-2</v>
      </c>
      <c r="F642">
        <f>0.113934197307692*(0.3)</f>
        <v>3.4180259192307688E-2</v>
      </c>
      <c r="G642">
        <f>0.0683605183846154*(0.3)</f>
        <v>2.0508155515384614E-2</v>
      </c>
      <c r="H642">
        <f>0.113934197307692*(0.3)</f>
        <v>3.4180259192307688E-2</v>
      </c>
      <c r="I642">
        <f>0.113934197307692*(0.3)</f>
        <v>3.4180259192307688E-2</v>
      </c>
      <c r="J642">
        <f>-0.0227868394615385*(0.3)</f>
        <v>-6.8360518384615364E-3</v>
      </c>
      <c r="K642">
        <f>0.113934197307692*(0.3)</f>
        <v>3.4180259192307688E-2</v>
      </c>
      <c r="L642">
        <f>0.0558277566807692*(0.3)</f>
        <v>1.6748327004230765E-2</v>
      </c>
      <c r="M642">
        <f>0.125327617038462*(0.3)</f>
        <v>3.7598285111538461E-2</v>
      </c>
      <c r="N642">
        <f>0.113934197307692*(0.3)</f>
        <v>3.4180259192307688E-2</v>
      </c>
    </row>
    <row r="643" spans="1:14" x14ac:dyDescent="0.25">
      <c r="A643">
        <f>-7.983148979*(0.3)</f>
        <v>-2.3949446936999998</v>
      </c>
      <c r="B643">
        <f>0.614088383*(0.3)</f>
        <v>0.1842265149</v>
      </c>
      <c r="C643">
        <f>1.842265149*(0.3)</f>
        <v>0.55267954470000002</v>
      </c>
      <c r="D643">
        <f>0.614088383*(0.3)</f>
        <v>0.1842265149</v>
      </c>
      <c r="E643">
        <f>0.614088383*(0.3)</f>
        <v>0.1842265149</v>
      </c>
      <c r="F643">
        <f>0.614088383*(0.3)</f>
        <v>0.1842265149</v>
      </c>
      <c r="G643">
        <f>0.3684530298*(0.3)</f>
        <v>0.11053590894</v>
      </c>
      <c r="H643">
        <f>0.614088383*(0.3)</f>
        <v>0.1842265149</v>
      </c>
      <c r="I643">
        <f>0.614088383*(0.3)</f>
        <v>0.1842265149</v>
      </c>
      <c r="J643">
        <f>-0.1228176766*(0.3)</f>
        <v>-3.6845302979999994E-2</v>
      </c>
      <c r="K643">
        <f>0.614088383*(0.3)</f>
        <v>0.1842265149</v>
      </c>
      <c r="L643">
        <f>0.30090330767*(0.3)</f>
        <v>9.0270992300999997E-2</v>
      </c>
      <c r="M643">
        <f>0.6754972213*(0.3)</f>
        <v>0.20264916639000002</v>
      </c>
      <c r="N643">
        <f>0.614088383*(0.3)</f>
        <v>0.1842265149</v>
      </c>
    </row>
    <row r="644" spans="1:14" x14ac:dyDescent="0.25">
      <c r="A644">
        <f>2.040523*(0.3)</f>
        <v>0.61215689999999989</v>
      </c>
      <c r="B644">
        <f>-0.156963307692308*(0.3)</f>
        <v>-4.7088992307692305E-2</v>
      </c>
      <c r="C644">
        <f>-0.470889923076923*(0.3)</f>
        <v>-0.14126697692307691</v>
      </c>
      <c r="D644">
        <f>-0.156963307692308*(0.3)</f>
        <v>-4.7088992307692305E-2</v>
      </c>
      <c r="E644">
        <f>-0.156963307692308*(0.3)</f>
        <v>-4.7088992307692305E-2</v>
      </c>
      <c r="F644">
        <f>-0.156963307692308*(0.3)</f>
        <v>-4.7088992307692305E-2</v>
      </c>
      <c r="G644">
        <f>-0.0941779846153846*(0.3)</f>
        <v>-2.8253395384615382E-2</v>
      </c>
      <c r="H644">
        <f>-0.156963307692308*(0.3)</f>
        <v>-4.7088992307692305E-2</v>
      </c>
      <c r="I644">
        <f>-0.156963307692308*(0.3)</f>
        <v>-4.7088992307692305E-2</v>
      </c>
      <c r="J644">
        <f>0.0313926615384615*(0.3)</f>
        <v>9.4177984615384583E-3</v>
      </c>
      <c r="K644">
        <f>-0.156963307692308*(0.3)</f>
        <v>-4.7088992307692305E-2</v>
      </c>
      <c r="L644">
        <f>-0.0769120207692308*(0.3)</f>
        <v>-2.3073606230769227E-2</v>
      </c>
      <c r="M644">
        <f>-0.172659638461538*(0.3)</f>
        <v>-5.1797891538461531E-2</v>
      </c>
      <c r="N644">
        <f>-0.156963307692308*(0.3)</f>
        <v>-4.7088992307692305E-2</v>
      </c>
    </row>
    <row r="645" spans="1:14" x14ac:dyDescent="0.25">
      <c r="A645">
        <f>-11.21815035*(0.3)</f>
        <v>-3.365445105</v>
      </c>
      <c r="B645">
        <f>0.862934642307692*(0.3)</f>
        <v>0.25888039269230767</v>
      </c>
      <c r="C645">
        <f>2.58880392692308*(0.3)</f>
        <v>0.77664117807692301</v>
      </c>
      <c r="D645">
        <f>0.862934642307692*(0.3)</f>
        <v>0.25888039269230767</v>
      </c>
      <c r="E645">
        <f>0.862934642307692*(0.3)</f>
        <v>0.25888039269230767</v>
      </c>
      <c r="F645">
        <f>0.862934642307692*(0.3)</f>
        <v>0.25888039269230767</v>
      </c>
      <c r="G645">
        <f>0.517760785384615*(0.3)</f>
        <v>0.15532823561538459</v>
      </c>
      <c r="H645">
        <f>0.862934642307692*(0.3)</f>
        <v>0.25888039269230767</v>
      </c>
      <c r="I645">
        <f>0.862934642307692*(0.3)</f>
        <v>0.25888039269230767</v>
      </c>
      <c r="J645">
        <f>-0.172586928461538*(0.3)</f>
        <v>-5.1776078538461522E-2</v>
      </c>
      <c r="K645">
        <f>0.862934642307692*(0.3)</f>
        <v>0.25888039269230767</v>
      </c>
      <c r="L645">
        <f>0.422837974730769*(0.3)</f>
        <v>0.12685139241923077</v>
      </c>
      <c r="M645">
        <f>0.949228106538462*(0.3)</f>
        <v>0.2847684319615385</v>
      </c>
      <c r="N645">
        <f>0.862934642307692*(0.3)</f>
        <v>0.25888039269230767</v>
      </c>
    </row>
    <row r="646" spans="1:14" x14ac:dyDescent="0.25">
      <c r="A646">
        <f>0.527268382*(0.3)</f>
        <v>0.15818051460000002</v>
      </c>
      <c r="B646">
        <f>-0.0405591063076923*(0.3)</f>
        <v>-1.2167731892307694E-2</v>
      </c>
      <c r="C646">
        <f>-0.121677318923077*(0.3)</f>
        <v>-3.6503195676923082E-2</v>
      </c>
      <c r="D646">
        <f>-0.0405591063076923*(0.3)</f>
        <v>-1.2167731892307694E-2</v>
      </c>
      <c r="E646">
        <f>-0.0405591063076923*(0.3)</f>
        <v>-1.2167731892307694E-2</v>
      </c>
      <c r="F646">
        <f>-0.0405591063076923*(0.3)</f>
        <v>-1.2167731892307694E-2</v>
      </c>
      <c r="G646">
        <f>-0.0243354637846154*(0.3)</f>
        <v>-7.3006391353846161E-3</v>
      </c>
      <c r="H646">
        <f>-0.0405591063076923*(0.3)</f>
        <v>-1.2167731892307694E-2</v>
      </c>
      <c r="I646">
        <f>-0.0405591063076923*(0.3)</f>
        <v>-1.2167731892307694E-2</v>
      </c>
      <c r="J646">
        <f>0.00811182126153846*(0.3)</f>
        <v>2.4335463784615381E-3</v>
      </c>
      <c r="K646">
        <f>-0.0405591063076923*(0.3)</f>
        <v>-1.2167731892307694E-2</v>
      </c>
      <c r="L646">
        <f>-0.0198739620907692*(0.3)</f>
        <v>-5.9621886272307701E-3</v>
      </c>
      <c r="M646">
        <f>-0.0446150169384616*(0.3)</f>
        <v>-1.3384505081538465E-2</v>
      </c>
      <c r="N646">
        <f>-0.0405591063076923*(0.3)</f>
        <v>-1.2167731892307694E-2</v>
      </c>
    </row>
    <row r="647" spans="1:14" x14ac:dyDescent="0.25">
      <c r="A647">
        <f>-11.39853972*(0.3)</f>
        <v>-3.4195619160000001</v>
      </c>
      <c r="B647">
        <f>0.876810747692308*(0.3)</f>
        <v>0.26304322430769228</v>
      </c>
      <c r="C647">
        <f>2.63043224307692*(0.3)</f>
        <v>0.7891296729230769</v>
      </c>
      <c r="D647">
        <f>0.876810747692308*(0.3)</f>
        <v>0.26304322430769228</v>
      </c>
      <c r="E647">
        <f>0.876810747692308*(0.3)</f>
        <v>0.26304322430769228</v>
      </c>
      <c r="F647">
        <f>0.876810747692308*(0.3)</f>
        <v>0.26304322430769228</v>
      </c>
      <c r="G647">
        <f>0.526086448615385*(0.3)</f>
        <v>0.15782593458461536</v>
      </c>
      <c r="H647">
        <f>0.876810747692308*(0.3)</f>
        <v>0.26304322430769228</v>
      </c>
      <c r="I647">
        <f>0.876810747692308*(0.3)</f>
        <v>0.26304322430769228</v>
      </c>
      <c r="J647">
        <f>-0.175362149538461*(0.3)</f>
        <v>-5.2608644861538448E-2</v>
      </c>
      <c r="K647">
        <f>0.876810747692308*(0.3)</f>
        <v>0.26304322430769228</v>
      </c>
      <c r="L647">
        <f>0.429637266369231*(0.3)</f>
        <v>0.12889117991076923</v>
      </c>
      <c r="M647">
        <f>0.964491822461539*(0.3)</f>
        <v>0.28934754673846153</v>
      </c>
      <c r="N647">
        <f>0.876810747692308*(0.3)</f>
        <v>0.26304322430769228</v>
      </c>
    </row>
    <row r="648" spans="1:14" x14ac:dyDescent="0.25">
      <c r="A648">
        <f>0.029115334*(0.3)</f>
        <v>8.7346001999999996E-3</v>
      </c>
      <c r="B648">
        <f>-0.00223964107692308*(0.3)</f>
        <v>-6.7189232307692307E-4</v>
      </c>
      <c r="C648">
        <f>-0.00671892323076923*(0.3)</f>
        <v>-2.0156769692307691E-3</v>
      </c>
      <c r="D648">
        <f>-0.00223964107692308*(0.3)</f>
        <v>-6.7189232307692307E-4</v>
      </c>
      <c r="E648">
        <f>-0.00223964107692308*(0.3)</f>
        <v>-6.7189232307692307E-4</v>
      </c>
      <c r="F648">
        <f>-0.00223964107692308*(0.3)</f>
        <v>-6.7189232307692307E-4</v>
      </c>
      <c r="G648">
        <f>-0.00134378464615385*(0.3)</f>
        <v>-4.0313539384615382E-4</v>
      </c>
      <c r="H648">
        <f>-0.00223964107692308*(0.3)</f>
        <v>-6.7189232307692307E-4</v>
      </c>
      <c r="I648">
        <f>-0.00223964107692308*(0.3)</f>
        <v>-6.7189232307692307E-4</v>
      </c>
      <c r="J648">
        <f>0.000447928215384615*(0.3)</f>
        <v>1.343784646153846E-4</v>
      </c>
      <c r="K648">
        <f>-0.00223964107692308*(0.3)</f>
        <v>-6.7189232307692307E-4</v>
      </c>
      <c r="L648">
        <f>-0.00109742412769231*(0.3)</f>
        <v>-3.2922723830769229E-4</v>
      </c>
      <c r="M648">
        <f>-0.00246360518461538*(0.3)</f>
        <v>-7.3908155538461541E-4</v>
      </c>
      <c r="N648">
        <f>-0.00223964107692308*(0.3)</f>
        <v>-6.7189232307692307E-4</v>
      </c>
    </row>
    <row r="649" spans="1:14" x14ac:dyDescent="0.25">
      <c r="A649">
        <f>-17.33131494*(0.3)</f>
        <v>-5.1993944819999998</v>
      </c>
      <c r="B649">
        <f>1.33317807230769*(0.3)</f>
        <v>0.39995342169230769</v>
      </c>
      <c r="C649">
        <f>3.99953421692308*(0.3)</f>
        <v>1.199860265076923</v>
      </c>
      <c r="D649">
        <f>1.33317807230769*(0.3)</f>
        <v>0.39995342169230769</v>
      </c>
      <c r="E649">
        <f>1.33317807230769*(0.3)</f>
        <v>0.39995342169230769</v>
      </c>
      <c r="F649">
        <f>1.33317807230769*(0.3)</f>
        <v>0.39995342169230769</v>
      </c>
      <c r="G649">
        <f>0.799906843384615*(0.3)</f>
        <v>0.2399720530153846</v>
      </c>
      <c r="H649">
        <f>1.33317807230769*(0.3)</f>
        <v>0.39995342169230769</v>
      </c>
      <c r="I649">
        <f>1.33317807230769*(0.3)</f>
        <v>0.39995342169230769</v>
      </c>
      <c r="J649">
        <f>-0.266635614461538*(0.3)</f>
        <v>-7.9990684338461515E-2</v>
      </c>
      <c r="K649">
        <f>1.33317807230769*(0.3)</f>
        <v>0.39995342169230769</v>
      </c>
      <c r="L649">
        <f>0.653257255430769*(0.3)</f>
        <v>0.19597717662923075</v>
      </c>
      <c r="M649">
        <f>1.46649587953846*(0.3)</f>
        <v>0.43994876386153842</v>
      </c>
      <c r="N649">
        <f>1.33317807230769*(0.3)</f>
        <v>0.39995342169230769</v>
      </c>
    </row>
    <row r="650" spans="1:14" x14ac:dyDescent="0.25">
      <c r="A650">
        <f>0.772089839*(0.3)</f>
        <v>0.23162695169999997</v>
      </c>
      <c r="B650">
        <f>-0.0593915260769231*(0.3)</f>
        <v>-1.7817457823076921E-2</v>
      </c>
      <c r="C650">
        <f>-0.178174578230769*(0.3)</f>
        <v>-5.3452373469230763E-2</v>
      </c>
      <c r="D650">
        <f>-0.0593915260769231*(0.3)</f>
        <v>-1.7817457823076921E-2</v>
      </c>
      <c r="E650">
        <f>-0.0593915260769231*(0.3)</f>
        <v>-1.7817457823076921E-2</v>
      </c>
      <c r="F650">
        <f>-0.0593915260769231*(0.3)</f>
        <v>-1.7817457823076921E-2</v>
      </c>
      <c r="G650">
        <f>-0.0356349156461538*(0.3)</f>
        <v>-1.0690474693846153E-2</v>
      </c>
      <c r="H650">
        <f>-0.0593915260769231*(0.3)</f>
        <v>-1.7817457823076921E-2</v>
      </c>
      <c r="I650">
        <f>-0.0593915260769231*(0.3)</f>
        <v>-1.7817457823076921E-2</v>
      </c>
      <c r="J650">
        <f>0.0118783052153846*(0.3)</f>
        <v>3.5634915646153833E-3</v>
      </c>
      <c r="K650">
        <f>-0.0593915260769231*(0.3)</f>
        <v>-1.7817457823076921E-2</v>
      </c>
      <c r="L650">
        <f>-0.0291018477776923*(0.3)</f>
        <v>-8.730554333307692E-3</v>
      </c>
      <c r="M650">
        <f>-0.0653306786846154*(0.3)</f>
        <v>-1.9599203605384613E-2</v>
      </c>
      <c r="N650">
        <f>-0.0593915260769231*(0.3)</f>
        <v>-1.7817457823076921E-2</v>
      </c>
    </row>
    <row r="651" spans="1:14" x14ac:dyDescent="0.25">
      <c r="A651">
        <f>-18.1349087*(0.3)</f>
        <v>-5.4404726099999996</v>
      </c>
      <c r="B651">
        <f>1.39499297692308*(0.3)</f>
        <v>0.41849789307692303</v>
      </c>
      <c r="C651">
        <f>4.18497893076923*(0.3)</f>
        <v>1.2554936792307692</v>
      </c>
      <c r="D651">
        <f>1.39499297692308*(0.3)</f>
        <v>0.41849789307692303</v>
      </c>
      <c r="E651">
        <f>1.39499297692308*(0.3)</f>
        <v>0.41849789307692303</v>
      </c>
      <c r="F651">
        <f>1.39499297692308*(0.3)</f>
        <v>0.41849789307692303</v>
      </c>
      <c r="G651">
        <f>0.836995786153846*(0.3)</f>
        <v>0.25109873584615383</v>
      </c>
      <c r="H651">
        <f>1.39499297692308*(0.3)</f>
        <v>0.41849789307692303</v>
      </c>
      <c r="I651">
        <f>1.39499297692308*(0.3)</f>
        <v>0.41849789307692303</v>
      </c>
      <c r="J651">
        <f>-0.278998595384615*(0.3)</f>
        <v>-8.3699578615384587E-2</v>
      </c>
      <c r="K651">
        <f>1.39499297692308*(0.3)</f>
        <v>0.41849789307692303</v>
      </c>
      <c r="L651">
        <f>0.683546558692308*(0.3)</f>
        <v>0.20506396760769227</v>
      </c>
      <c r="M651">
        <f>1.53449227461538*(0.3)</f>
        <v>0.46034768238461538</v>
      </c>
      <c r="N651">
        <f>1.39499297692308*(0.3)</f>
        <v>0.41849789307692303</v>
      </c>
    </row>
    <row r="652" spans="1:14" x14ac:dyDescent="0.25">
      <c r="A652">
        <f>1.49091741*(0.3)</f>
        <v>0.447275223</v>
      </c>
      <c r="B652">
        <f>-0.114685954615385*(0.3)</f>
        <v>-3.4405786384615382E-2</v>
      </c>
      <c r="C652">
        <f>-0.344057863846154*(0.3)</f>
        <v>-0.10321735915384615</v>
      </c>
      <c r="D652">
        <f>-0.114685954615385*(0.3)</f>
        <v>-3.4405786384615382E-2</v>
      </c>
      <c r="E652">
        <f>-0.114685954615385*(0.3)</f>
        <v>-3.4405786384615382E-2</v>
      </c>
      <c r="F652">
        <f>-0.114685954615385*(0.3)</f>
        <v>-3.4405786384615382E-2</v>
      </c>
      <c r="G652">
        <f>-0.0688115727692308*(0.3)</f>
        <v>-2.0643471830769228E-2</v>
      </c>
      <c r="H652">
        <f>-0.114685954615385*(0.3)</f>
        <v>-3.4405786384615382E-2</v>
      </c>
      <c r="I652">
        <f>-0.114685954615385*(0.3)</f>
        <v>-3.4405786384615382E-2</v>
      </c>
      <c r="J652">
        <f>0.0229371909230769*(0.3)</f>
        <v>6.8811572769230745E-3</v>
      </c>
      <c r="K652">
        <f>-0.114685954615385*(0.3)</f>
        <v>-3.4405786384615382E-2</v>
      </c>
      <c r="L652">
        <f>-0.0561961177615385*(0.3)</f>
        <v>-1.6858835328461538E-2</v>
      </c>
      <c r="M652">
        <f>-0.126154550076923*(0.3)</f>
        <v>-3.7846365023076922E-2</v>
      </c>
      <c r="N652">
        <f>-0.114685954615385*(0.3)</f>
        <v>-3.4405786384615382E-2</v>
      </c>
    </row>
    <row r="653" spans="1:14" x14ac:dyDescent="0.25">
      <c r="A653">
        <f>-25.95438716*(0.3)</f>
        <v>-7.7863161479999992</v>
      </c>
      <c r="B653">
        <f>1.99649132*(0.3)</f>
        <v>0.59894739600000002</v>
      </c>
      <c r="C653">
        <f>5.98947396*(0.3)</f>
        <v>1.7968421879999998</v>
      </c>
      <c r="D653">
        <f>1.99649132*(0.3)</f>
        <v>0.59894739600000002</v>
      </c>
      <c r="E653">
        <f>1.99649132*(0.3)</f>
        <v>0.59894739600000002</v>
      </c>
      <c r="F653">
        <f>1.99649132*(0.3)</f>
        <v>0.59894739600000002</v>
      </c>
      <c r="G653">
        <f>1.197894792*(0.3)</f>
        <v>0.35936843759999998</v>
      </c>
      <c r="H653">
        <f>1.99649132*(0.3)</f>
        <v>0.59894739600000002</v>
      </c>
      <c r="I653">
        <f>1.99649132*(0.3)</f>
        <v>0.59894739600000002</v>
      </c>
      <c r="J653">
        <f>-0.399298264*(0.3)</f>
        <v>-0.11978947919999997</v>
      </c>
      <c r="K653">
        <f>1.99649132*(0.3)</f>
        <v>0.59894739600000002</v>
      </c>
      <c r="L653">
        <f>0.9782807468*(0.3)</f>
        <v>0.29348422403999996</v>
      </c>
      <c r="M653">
        <f>2.196140452*(0.3)</f>
        <v>0.65884213560000005</v>
      </c>
      <c r="N653">
        <f>1.99649132*(0.3)</f>
        <v>0.59894739600000002</v>
      </c>
    </row>
    <row r="654" spans="1:14" x14ac:dyDescent="0.25">
      <c r="A654">
        <f>-0.867390666*(0.3)</f>
        <v>-0.26021719980000002</v>
      </c>
      <c r="B654">
        <f>0.0667223589230769*(0.3)</f>
        <v>2.0016707676923078E-2</v>
      </c>
      <c r="C654">
        <f>0.200167076769231*(0.3)</f>
        <v>6.0050123030769231E-2</v>
      </c>
      <c r="D654">
        <f>0.0667223589230769*(0.3)</f>
        <v>2.0016707676923078E-2</v>
      </c>
      <c r="E654">
        <f>0.0667223589230769*(0.3)</f>
        <v>2.0016707676923078E-2</v>
      </c>
      <c r="F654">
        <f>0.0667223589230769*(0.3)</f>
        <v>2.0016707676923078E-2</v>
      </c>
      <c r="G654">
        <f>0.0400334153538462*(0.3)</f>
        <v>1.2010024606153847E-2</v>
      </c>
      <c r="H654">
        <f>0.0667223589230769*(0.3)</f>
        <v>2.0016707676923078E-2</v>
      </c>
      <c r="I654">
        <f>0.0667223589230769*(0.3)</f>
        <v>2.0016707676923078E-2</v>
      </c>
      <c r="J654">
        <f>-0.0133444717846154*(0.3)</f>
        <v>-4.0033415353846148E-3</v>
      </c>
      <c r="K654">
        <f>0.0667223589230769*(0.3)</f>
        <v>2.0016707676923078E-2</v>
      </c>
      <c r="L654">
        <f>0.0326939558723077*(0.3)</f>
        <v>9.8081867616923082E-3</v>
      </c>
      <c r="M654">
        <f>0.0733945948153846*(0.3)</f>
        <v>2.2018378444615388E-2</v>
      </c>
      <c r="N654">
        <f>0.0667223589230769*(0.3)</f>
        <v>2.0016707676923078E-2</v>
      </c>
    </row>
    <row r="655" spans="1:14" x14ac:dyDescent="0.25">
      <c r="A655">
        <f>-27.35607663*(0.3)</f>
        <v>-8.2068229889999991</v>
      </c>
      <c r="B655">
        <f>2.10431358692308*(0.3)</f>
        <v>0.63129407607692312</v>
      </c>
      <c r="C655">
        <f>6.31294076076923*(0.3)</f>
        <v>1.8938822282307695</v>
      </c>
      <c r="D655">
        <f>2.10431358692308*(0.3)</f>
        <v>0.63129407607692312</v>
      </c>
      <c r="E655">
        <f>2.10431358692308*(0.3)</f>
        <v>0.63129407607692312</v>
      </c>
      <c r="F655">
        <f>2.10431358692308*(0.3)</f>
        <v>0.63129407607692312</v>
      </c>
      <c r="G655">
        <f>1.26258815215385*(0.3)</f>
        <v>0.37877644564615387</v>
      </c>
      <c r="H655">
        <f>2.10431358692308*(0.3)</f>
        <v>0.63129407607692312</v>
      </c>
      <c r="I655">
        <f>2.10431358692308*(0.3)</f>
        <v>0.63129407607692312</v>
      </c>
      <c r="J655">
        <f>-0.420862717384615*(0.3)</f>
        <v>-0.1262588152153846</v>
      </c>
      <c r="K655">
        <f>2.10431358692308*(0.3)</f>
        <v>0.63129407607692312</v>
      </c>
      <c r="L655">
        <f>1.03111365759231*(0.3)</f>
        <v>0.30933409727769229</v>
      </c>
      <c r="M655">
        <f>2.31474494561539*(0.3)</f>
        <v>0.69442348368461559</v>
      </c>
      <c r="N655">
        <f>2.10431358692308*(0.3)</f>
        <v>0.63129407607692312</v>
      </c>
    </row>
    <row r="656" spans="1:14" x14ac:dyDescent="0.25">
      <c r="A656">
        <f>1.056940339*(0.3)</f>
        <v>0.31708210170000001</v>
      </c>
      <c r="B656">
        <f>-0.081303103*(0.3)</f>
        <v>-2.43909309E-2</v>
      </c>
      <c r="C656">
        <f>-0.243909309*(0.3)</f>
        <v>-7.3172792700000003E-2</v>
      </c>
      <c r="D656">
        <f>-0.081303103*(0.3)</f>
        <v>-2.43909309E-2</v>
      </c>
      <c r="E656">
        <f>-0.081303103*(0.3)</f>
        <v>-2.43909309E-2</v>
      </c>
      <c r="F656">
        <f>-0.081303103*(0.3)</f>
        <v>-2.43909309E-2</v>
      </c>
      <c r="G656">
        <f>-0.0487818618*(0.3)</f>
        <v>-1.4634558539999998E-2</v>
      </c>
      <c r="H656">
        <f>-0.081303103*(0.3)</f>
        <v>-2.43909309E-2</v>
      </c>
      <c r="I656">
        <f>-0.081303103*(0.3)</f>
        <v>-2.43909309E-2</v>
      </c>
      <c r="J656">
        <f>0.0162606206*(0.3)</f>
        <v>4.8781861799999989E-3</v>
      </c>
      <c r="K656">
        <f>-0.081303103*(0.3)</f>
        <v>-2.43909309E-2</v>
      </c>
      <c r="L656">
        <f>-0.03983852047*(0.3)</f>
        <v>-1.1951556141E-2</v>
      </c>
      <c r="M656">
        <f>-0.0894334133*(0.3)</f>
        <v>-2.6830023990000004E-2</v>
      </c>
      <c r="N656">
        <f>-0.081303103*(0.3)</f>
        <v>-2.43909309E-2</v>
      </c>
    </row>
    <row r="657" spans="1:14" x14ac:dyDescent="0.25">
      <c r="A657">
        <f>-2.500671541*(0.3)</f>
        <v>-0.75020146229999995</v>
      </c>
      <c r="B657">
        <f>0.192359349307692*(0.3)</f>
        <v>5.7707804792307686E-2</v>
      </c>
      <c r="C657">
        <f>0.577078047923077*(0.3)</f>
        <v>0.17312341437692308</v>
      </c>
      <c r="D657">
        <f>0.192359349307692*(0.3)</f>
        <v>5.7707804792307686E-2</v>
      </c>
      <c r="E657">
        <f>0.192359349307692*(0.3)</f>
        <v>5.7707804792307686E-2</v>
      </c>
      <c r="F657">
        <f>0.192359349307692*(0.3)</f>
        <v>5.7707804792307686E-2</v>
      </c>
      <c r="G657">
        <f>0.115415609584615*(0.3)</f>
        <v>3.4624682875384609E-2</v>
      </c>
      <c r="H657">
        <f>0.192359349307692*(0.3)</f>
        <v>5.7707804792307686E-2</v>
      </c>
      <c r="I657">
        <f>0.192359349307692*(0.3)</f>
        <v>5.7707804792307686E-2</v>
      </c>
      <c r="J657">
        <f>-0.0384718698615385*(0.3)</f>
        <v>-1.1541560958461535E-2</v>
      </c>
      <c r="K657">
        <f>0.192359349307692*(0.3)</f>
        <v>5.7707804792307686E-2</v>
      </c>
      <c r="L657">
        <f>0.0942560811607692*(0.3)</f>
        <v>2.8276824348230766E-2</v>
      </c>
      <c r="M657">
        <f>0.211595284238462*(0.3)</f>
        <v>6.3478585271538462E-2</v>
      </c>
      <c r="N657">
        <f>0.192359349307692*(0.3)</f>
        <v>5.7707804792307686E-2</v>
      </c>
    </row>
    <row r="658" spans="1:14" x14ac:dyDescent="0.25">
      <c r="A658">
        <f>-1.877048946*(0.3)</f>
        <v>-0.56311468379999996</v>
      </c>
      <c r="B658">
        <f>0.144388380461538*(0.3)</f>
        <v>4.3316514138461534E-2</v>
      </c>
      <c r="C658">
        <f>0.433165141384615*(0.3)</f>
        <v>0.12994954241538462</v>
      </c>
      <c r="D658">
        <f>0.144388380461538*(0.3)</f>
        <v>4.3316514138461534E-2</v>
      </c>
      <c r="E658">
        <f>0.144388380461538*(0.3)</f>
        <v>4.3316514138461534E-2</v>
      </c>
      <c r="F658">
        <f>0.144388380461538*(0.3)</f>
        <v>4.3316514138461534E-2</v>
      </c>
      <c r="G658">
        <f>0.0866330282769231*(0.3)</f>
        <v>2.5989908483076921E-2</v>
      </c>
      <c r="H658">
        <f>0.144388380461538*(0.3)</f>
        <v>4.3316514138461534E-2</v>
      </c>
      <c r="I658">
        <f>0.144388380461538*(0.3)</f>
        <v>4.3316514138461534E-2</v>
      </c>
      <c r="J658">
        <f>-0.0288776760923077*(0.3)</f>
        <v>-8.6633028276923048E-3</v>
      </c>
      <c r="K658">
        <f>0.144388380461538*(0.3)</f>
        <v>4.3316514138461534E-2</v>
      </c>
      <c r="L658">
        <f>0.0707503064261538*(0.3)</f>
        <v>2.1225091927846152E-2</v>
      </c>
      <c r="M658">
        <f>0.158827218507692*(0.3)</f>
        <v>4.7648165552307699E-2</v>
      </c>
      <c r="N658">
        <f>0.144388380461538*(0.3)</f>
        <v>4.3316514138461534E-2</v>
      </c>
    </row>
    <row r="659" spans="1:14" x14ac:dyDescent="0.25">
      <c r="A659">
        <f>-1.524811402*(0.3)</f>
        <v>-0.45744342059999998</v>
      </c>
      <c r="B659">
        <f>0.117293184769231*(0.3)</f>
        <v>3.5187955430769233E-2</v>
      </c>
      <c r="C659">
        <f>0.351879554307692*(0.3)</f>
        <v>0.10556386629230768</v>
      </c>
      <c r="D659">
        <f>0.117293184769231*(0.3)</f>
        <v>3.5187955430769233E-2</v>
      </c>
      <c r="E659">
        <f>0.117293184769231*(0.3)</f>
        <v>3.5187955430769233E-2</v>
      </c>
      <c r="F659">
        <f>0.117293184769231*(0.3)</f>
        <v>3.5187955430769233E-2</v>
      </c>
      <c r="G659">
        <f>0.0703759108615385*(0.3)</f>
        <v>2.1112773258461538E-2</v>
      </c>
      <c r="H659">
        <f>0.117293184769231*(0.3)</f>
        <v>3.5187955430769233E-2</v>
      </c>
      <c r="I659">
        <f>0.117293184769231*(0.3)</f>
        <v>3.5187955430769233E-2</v>
      </c>
      <c r="J659">
        <f>-0.0234586369538461*(0.3)</f>
        <v>-7.0375910861538446E-3</v>
      </c>
      <c r="K659">
        <f>0.117293184769231*(0.3)</f>
        <v>3.5187955430769233E-2</v>
      </c>
      <c r="L659">
        <f>0.0574736605369231*(0.3)</f>
        <v>1.7242098161076923E-2</v>
      </c>
      <c r="M659">
        <f>0.129022503246154*(0.3)</f>
        <v>3.8706750973846155E-2</v>
      </c>
      <c r="N659">
        <f>0.117293184769231*(0.3)</f>
        <v>3.5187955430769233E-2</v>
      </c>
    </row>
    <row r="660" spans="1:14" x14ac:dyDescent="0.25">
      <c r="A660">
        <f>-0.148232746*(0.3)</f>
        <v>-4.4469823799999995E-2</v>
      </c>
      <c r="B660">
        <f>0.0114025189230769*(0.3)</f>
        <v>3.4207556769230768E-3</v>
      </c>
      <c r="C660">
        <f>0.0342075567692308*(0.3)</f>
        <v>1.0262267030769231E-2</v>
      </c>
      <c r="D660">
        <f>0.0114025189230769*(0.3)</f>
        <v>3.4207556769230768E-3</v>
      </c>
      <c r="E660">
        <f>0.0114025189230769*(0.3)</f>
        <v>3.4207556769230768E-3</v>
      </c>
      <c r="F660">
        <f>0.0114025189230769*(0.3)</f>
        <v>3.4207556769230768E-3</v>
      </c>
      <c r="G660">
        <f>0.00684151135384615*(0.3)</f>
        <v>2.0524534061538459E-3</v>
      </c>
      <c r="H660">
        <f>0.0114025189230769*(0.3)</f>
        <v>3.4207556769230768E-3</v>
      </c>
      <c r="I660">
        <f>0.0114025189230769*(0.3)</f>
        <v>3.4207556769230768E-3</v>
      </c>
      <c r="J660">
        <f>-0.00228050378461538*(0.3)</f>
        <v>-6.8415113538461522E-4</v>
      </c>
      <c r="K660">
        <f>0.0114025189230769*(0.3)</f>
        <v>3.4207556769230768E-3</v>
      </c>
      <c r="L660">
        <f>0.00558723427230769*(0.3)</f>
        <v>1.6761702816923075E-3</v>
      </c>
      <c r="M660">
        <f>0.0125427708153846*(0.3)</f>
        <v>3.7628312446153847E-3</v>
      </c>
      <c r="N660">
        <f>0.0114025189230769*(0.3)</f>
        <v>3.4207556769230768E-3</v>
      </c>
    </row>
    <row r="661" spans="1:14" x14ac:dyDescent="0.25">
      <c r="A661">
        <f>0.525329359*(0.3)</f>
        <v>0.15759880769999998</v>
      </c>
      <c r="B661">
        <f>-0.0404099506923077*(0.3)</f>
        <v>-1.2122985207692307E-2</v>
      </c>
      <c r="C661">
        <f>-0.121229852076923*(0.3)</f>
        <v>-3.6368955623076925E-2</v>
      </c>
      <c r="D661">
        <f>-0.0404099506923077*(0.3)</f>
        <v>-1.2122985207692307E-2</v>
      </c>
      <c r="E661">
        <f>-0.0404099506923077*(0.3)</f>
        <v>-1.2122985207692307E-2</v>
      </c>
      <c r="F661">
        <f>-0.0404099506923077*(0.3)</f>
        <v>-1.2122985207692307E-2</v>
      </c>
      <c r="G661">
        <f>-0.0242459704153846*(0.3)</f>
        <v>-7.2737911246153839E-3</v>
      </c>
      <c r="H661">
        <f>-0.0404099506923077*(0.3)</f>
        <v>-1.2122985207692307E-2</v>
      </c>
      <c r="I661">
        <f>-0.0404099506923077*(0.3)</f>
        <v>-1.2122985207692307E-2</v>
      </c>
      <c r="J661">
        <f>0.00808199013846154*(0.3)</f>
        <v>2.4245970415384607E-3</v>
      </c>
      <c r="K661">
        <f>-0.0404099506923077*(0.3)</f>
        <v>-1.2122985207692307E-2</v>
      </c>
      <c r="L661">
        <f>-0.0198008758392308*(0.3)</f>
        <v>-5.9402627517692302E-3</v>
      </c>
      <c r="M661">
        <f>-0.0444509457615385*(0.3)</f>
        <v>-1.3335283728461539E-2</v>
      </c>
      <c r="N661">
        <f>-0.0404099506923077*(0.3)</f>
        <v>-1.2122985207692307E-2</v>
      </c>
    </row>
    <row r="662" spans="1:14" x14ac:dyDescent="0.25">
      <c r="A662">
        <f>2.570475496*(0.3)</f>
        <v>0.77114264879999994</v>
      </c>
      <c r="B662">
        <f>-0.197728884307692*(0.3)</f>
        <v>-5.9318665292307685E-2</v>
      </c>
      <c r="C662">
        <f>-0.593186652923077*(0.3)</f>
        <v>-0.17795599587692304</v>
      </c>
      <c r="D662">
        <f>-0.197728884307692*(0.3)</f>
        <v>-5.9318665292307685E-2</v>
      </c>
      <c r="E662">
        <f>-0.197728884307692*(0.3)</f>
        <v>-5.9318665292307685E-2</v>
      </c>
      <c r="F662">
        <f>-0.197728884307692*(0.3)</f>
        <v>-5.9318665292307685E-2</v>
      </c>
      <c r="G662">
        <f>-0.118637330584615*(0.3)</f>
        <v>-3.5591199175384607E-2</v>
      </c>
      <c r="H662">
        <f>-0.197728884307692*(0.3)</f>
        <v>-5.9318665292307685E-2</v>
      </c>
      <c r="I662">
        <f>-0.197728884307692*(0.3)</f>
        <v>-5.9318665292307685E-2</v>
      </c>
      <c r="J662">
        <f>0.0395457768615384*(0.3)</f>
        <v>1.1863733058461534E-2</v>
      </c>
      <c r="K662">
        <f>-0.197728884307692*(0.3)</f>
        <v>-5.9318665292307685E-2</v>
      </c>
      <c r="L662">
        <f>-0.0968871533107692*(0.3)</f>
        <v>-2.9066145993230763E-2</v>
      </c>
      <c r="M662">
        <f>-0.217501772738462*(0.3)</f>
        <v>-6.5250531821538449E-2</v>
      </c>
      <c r="N662">
        <f>-0.197728884307692*(0.3)</f>
        <v>-5.9318665292307685E-2</v>
      </c>
    </row>
    <row r="663" spans="1:14" x14ac:dyDescent="0.25">
      <c r="A663">
        <f>1.492673939*(0.3)</f>
        <v>0.44780218169999997</v>
      </c>
      <c r="B663">
        <f>-0.114821072230769*(0.3)</f>
        <v>-3.4446321669230763E-2</v>
      </c>
      <c r="C663">
        <f>-0.344463216692308*(0.3)</f>
        <v>-0.1033389650076923</v>
      </c>
      <c r="D663">
        <f>-0.114821072230769*(0.3)</f>
        <v>-3.4446321669230763E-2</v>
      </c>
      <c r="E663">
        <f>-0.114821072230769*(0.3)</f>
        <v>-3.4446321669230763E-2</v>
      </c>
      <c r="F663">
        <f>-0.114821072230769*(0.3)</f>
        <v>-3.4446321669230763E-2</v>
      </c>
      <c r="G663">
        <f>-0.0688926433384615*(0.3)</f>
        <v>-2.0667793001538457E-2</v>
      </c>
      <c r="H663">
        <f>-0.114821072230769*(0.3)</f>
        <v>-3.4446321669230763E-2</v>
      </c>
      <c r="I663">
        <f>-0.114821072230769*(0.3)</f>
        <v>-3.4446321669230763E-2</v>
      </c>
      <c r="J663">
        <f>0.0229642144461538*(0.3)</f>
        <v>6.8892643338461521E-3</v>
      </c>
      <c r="K663">
        <f>-0.114821072230769*(0.3)</f>
        <v>-3.4446321669230763E-2</v>
      </c>
      <c r="L663">
        <f>-0.0562623253930769*(0.3)</f>
        <v>-1.6878697617923072E-2</v>
      </c>
      <c r="M663">
        <f>-0.126303179453846*(0.3)</f>
        <v>-3.7890953836153839E-2</v>
      </c>
      <c r="N663">
        <f>-0.114821072230769*(0.3)</f>
        <v>-3.4446321669230763E-2</v>
      </c>
    </row>
    <row r="664" spans="1:14" x14ac:dyDescent="0.25">
      <c r="A664">
        <f>0.331972267*(0.3)</f>
        <v>9.9591680099999996E-2</v>
      </c>
      <c r="B664">
        <f>-0.0255363282307692*(0.3)</f>
        <v>-7.660898469230769E-3</v>
      </c>
      <c r="C664">
        <f>-0.0766089846923077*(0.3)</f>
        <v>-2.2982695407692304E-2</v>
      </c>
      <c r="D664">
        <f>-0.0255363282307692*(0.3)</f>
        <v>-7.660898469230769E-3</v>
      </c>
      <c r="E664">
        <f>-0.0255363282307692*(0.3)</f>
        <v>-7.660898469230769E-3</v>
      </c>
      <c r="F664">
        <f>-0.0255363282307692*(0.3)</f>
        <v>-7.660898469230769E-3</v>
      </c>
      <c r="G664">
        <f>-0.0153217969384615*(0.3)</f>
        <v>-4.5965390815384611E-3</v>
      </c>
      <c r="H664">
        <f>-0.0255363282307692*(0.3)</f>
        <v>-7.660898469230769E-3</v>
      </c>
      <c r="I664">
        <f>-0.0255363282307692*(0.3)</f>
        <v>-7.660898469230769E-3</v>
      </c>
      <c r="J664">
        <f>0.00510726564615384*(0.3)</f>
        <v>1.5321796938461533E-3</v>
      </c>
      <c r="K664">
        <f>-0.0255363282307692*(0.3)</f>
        <v>-7.660898469230769E-3</v>
      </c>
      <c r="L664">
        <f>-0.0125128008330769*(0.3)</f>
        <v>-3.7538402499230766E-3</v>
      </c>
      <c r="M664">
        <f>-0.0280899610538462*(0.3)</f>
        <v>-8.426988316153846E-3</v>
      </c>
      <c r="N664">
        <f>-0.0255363282307692*(0.3)</f>
        <v>-7.660898469230769E-3</v>
      </c>
    </row>
    <row r="665" spans="1:14" x14ac:dyDescent="0.25">
      <c r="A665">
        <f>1.959128074*(0.3)</f>
        <v>0.58773842220000005</v>
      </c>
      <c r="B665">
        <f>-0.150702159538462*(0.3)</f>
        <v>-4.5210647861538465E-2</v>
      </c>
      <c r="C665">
        <f>-0.452106478615385*(0.3)</f>
        <v>-0.13563194358461539</v>
      </c>
      <c r="D665">
        <f>-0.150702159538462*(0.3)</f>
        <v>-4.5210647861538465E-2</v>
      </c>
      <c r="E665">
        <f>-0.150702159538462*(0.3)</f>
        <v>-4.5210647861538465E-2</v>
      </c>
      <c r="F665">
        <f>-0.150702159538462*(0.3)</f>
        <v>-4.5210647861538465E-2</v>
      </c>
      <c r="G665">
        <f>-0.0904212957230769*(0.3)</f>
        <v>-2.7126388716923078E-2</v>
      </c>
      <c r="H665">
        <f>-0.150702159538462*(0.3)</f>
        <v>-4.5210647861538465E-2</v>
      </c>
      <c r="I665">
        <f>-0.150702159538462*(0.3)</f>
        <v>-4.5210647861538465E-2</v>
      </c>
      <c r="J665">
        <f>0.0301404319076923*(0.3)</f>
        <v>9.042129572307692E-3</v>
      </c>
      <c r="K665">
        <f>-0.150702159538462*(0.3)</f>
        <v>-4.5210647861538465E-2</v>
      </c>
      <c r="L665">
        <f>-0.0738440581738462*(0.3)</f>
        <v>-2.2153217452153848E-2</v>
      </c>
      <c r="M665">
        <f>-0.165772375492308*(0.3)</f>
        <v>-4.9731712647692314E-2</v>
      </c>
      <c r="N665">
        <f>-0.150702159538462*(0.3)</f>
        <v>-4.5210647861538465E-2</v>
      </c>
    </row>
    <row r="666" spans="1:14" x14ac:dyDescent="0.25">
      <c r="A666">
        <f>2.871242057*(0.3)</f>
        <v>0.8613726170999999</v>
      </c>
      <c r="B666">
        <f>-0.220864773615385*(0.3)</f>
        <v>-6.6259432084615377E-2</v>
      </c>
      <c r="C666">
        <f>-0.662594320846154*(0.3)</f>
        <v>-0.19877829625384616</v>
      </c>
      <c r="D666">
        <f>-0.220864773615385*(0.3)</f>
        <v>-6.6259432084615377E-2</v>
      </c>
      <c r="E666">
        <f>-0.220864773615385*(0.3)</f>
        <v>-6.6259432084615377E-2</v>
      </c>
      <c r="F666">
        <f>-0.220864773615385*(0.3)</f>
        <v>-6.6259432084615377E-2</v>
      </c>
      <c r="G666">
        <f>-0.132518864169231*(0.3)</f>
        <v>-3.9755659250769224E-2</v>
      </c>
      <c r="H666">
        <f>-0.220864773615385*(0.3)</f>
        <v>-6.6259432084615377E-2</v>
      </c>
      <c r="I666">
        <f>-0.220864773615385*(0.3)</f>
        <v>-6.6259432084615377E-2</v>
      </c>
      <c r="J666">
        <f>0.0441729547230769*(0.3)</f>
        <v>1.3251886416923073E-2</v>
      </c>
      <c r="K666">
        <f>-0.220864773615385*(0.3)</f>
        <v>-6.6259432084615377E-2</v>
      </c>
      <c r="L666">
        <f>-0.108223739071538*(0.3)</f>
        <v>-3.2467121721461538E-2</v>
      </c>
      <c r="M666">
        <f>-0.242951250976923*(0.3)</f>
        <v>-7.2885375293076926E-2</v>
      </c>
      <c r="N666">
        <f>-0.220864773615385*(0.3)</f>
        <v>-6.6259432084615377E-2</v>
      </c>
    </row>
    <row r="667" spans="1:14" x14ac:dyDescent="0.25">
      <c r="A667">
        <f>-0.541831011*(0.3)</f>
        <v>-0.16254930329999998</v>
      </c>
      <c r="B667">
        <f>0.0416793085384615*(0.3)</f>
        <v>1.2503792561538461E-2</v>
      </c>
      <c r="C667">
        <f>0.125037925615385*(0.3)</f>
        <v>3.7511377684615384E-2</v>
      </c>
      <c r="D667">
        <f>0.0416793085384615*(0.3)</f>
        <v>1.2503792561538461E-2</v>
      </c>
      <c r="E667">
        <f>0.0416793085384615*(0.3)</f>
        <v>1.2503792561538461E-2</v>
      </c>
      <c r="F667">
        <f>0.0416793085384615*(0.3)</f>
        <v>1.2503792561538461E-2</v>
      </c>
      <c r="G667">
        <f>0.0250075851230769*(0.3)</f>
        <v>7.5022755369230764E-3</v>
      </c>
      <c r="H667">
        <f>0.0416793085384615*(0.3)</f>
        <v>1.2503792561538461E-2</v>
      </c>
      <c r="I667">
        <f>0.0416793085384615*(0.3)</f>
        <v>1.2503792561538461E-2</v>
      </c>
      <c r="J667">
        <f>-0.00833586170769231*(0.3)</f>
        <v>-2.5007585123076916E-3</v>
      </c>
      <c r="K667">
        <f>0.0416793085384615*(0.3)</f>
        <v>1.2503792561538461E-2</v>
      </c>
      <c r="L667">
        <f>0.0204228611838462*(0.3)</f>
        <v>6.1268583551538462E-3</v>
      </c>
      <c r="M667">
        <f>0.0458472393923077*(0.3)</f>
        <v>1.3754171817692309E-2</v>
      </c>
      <c r="N667">
        <f>0.0416793085384615*(0.3)</f>
        <v>1.2503792561538461E-2</v>
      </c>
    </row>
    <row r="668" spans="1:14" x14ac:dyDescent="0.25">
      <c r="A668">
        <f>-1.204372115*(0.3)</f>
        <v>-0.36131163449999998</v>
      </c>
      <c r="B668">
        <f>0.0926440088461538*(0.3)</f>
        <v>2.779320265384615E-2</v>
      </c>
      <c r="C668">
        <f>0.277932026538461*(0.3)</f>
        <v>8.3379607961538441E-2</v>
      </c>
      <c r="D668">
        <f>0.0926440088461538*(0.3)</f>
        <v>2.779320265384615E-2</v>
      </c>
      <c r="E668">
        <f>0.0926440088461538*(0.3)</f>
        <v>2.779320265384615E-2</v>
      </c>
      <c r="F668">
        <f>0.0926440088461538*(0.3)</f>
        <v>2.779320265384615E-2</v>
      </c>
      <c r="G668">
        <f>0.0555864053076923*(0.3)</f>
        <v>1.6675921592307689E-2</v>
      </c>
      <c r="H668">
        <f>0.0926440088461538*(0.3)</f>
        <v>2.779320265384615E-2</v>
      </c>
      <c r="I668">
        <f>0.0926440088461538*(0.3)</f>
        <v>2.779320265384615E-2</v>
      </c>
      <c r="J668">
        <f>-0.0185288017692308*(0.3)</f>
        <v>-5.558640530769229E-3</v>
      </c>
      <c r="K668">
        <f>0.0926440088461538*(0.3)</f>
        <v>2.779320265384615E-2</v>
      </c>
      <c r="L668">
        <f>0.0453955643346154*(0.3)</f>
        <v>1.3618669300384615E-2</v>
      </c>
      <c r="M668">
        <f>0.101908409730769*(0.3)</f>
        <v>3.0572522919230766E-2</v>
      </c>
      <c r="N668">
        <f>0.0926440088461538*(0.3)</f>
        <v>2.779320265384615E-2</v>
      </c>
    </row>
    <row r="669" spans="1:14" x14ac:dyDescent="0.25">
      <c r="A669">
        <f>-1.784284622*(0.3)</f>
        <v>-0.53528538659999991</v>
      </c>
      <c r="B669">
        <f>0.137252663230769*(0.3)</f>
        <v>4.1175798969230772E-2</v>
      </c>
      <c r="C669">
        <f>0.411757989692308*(0.3)</f>
        <v>0.12352739690769231</v>
      </c>
      <c r="D669">
        <f>0.137252663230769*(0.3)</f>
        <v>4.1175798969230772E-2</v>
      </c>
      <c r="E669">
        <f>0.137252663230769*(0.3)</f>
        <v>4.1175798969230772E-2</v>
      </c>
      <c r="F669">
        <f>0.137252663230769*(0.3)</f>
        <v>4.1175798969230772E-2</v>
      </c>
      <c r="G669">
        <f>0.0823515979384615*(0.3)</f>
        <v>2.4705479381538463E-2</v>
      </c>
      <c r="H669">
        <f>0.137252663230769*(0.3)</f>
        <v>4.1175798969230772E-2</v>
      </c>
      <c r="I669">
        <f>0.137252663230769*(0.3)</f>
        <v>4.1175798969230772E-2</v>
      </c>
      <c r="J669">
        <f>-0.0274505326461538*(0.3)</f>
        <v>-8.2351597938461526E-3</v>
      </c>
      <c r="K669">
        <f>0.137252663230769*(0.3)</f>
        <v>4.1175798969230772E-2</v>
      </c>
      <c r="L669">
        <f>0.0672538049830769*(0.3)</f>
        <v>2.0176141494923076E-2</v>
      </c>
      <c r="M669">
        <f>0.150977929553846*(0.3)</f>
        <v>4.5293378866153852E-2</v>
      </c>
      <c r="N669">
        <f>0.137252663230769*(0.3)</f>
        <v>4.1175798969230772E-2</v>
      </c>
    </row>
    <row r="670" spans="1:14" x14ac:dyDescent="0.25">
      <c r="A670">
        <f>1.636171457*(0.3)</f>
        <v>0.49085143710000001</v>
      </c>
      <c r="B670">
        <f>-0.125859342846154*(0.3)</f>
        <v>-3.7757802853846154E-2</v>
      </c>
      <c r="C670">
        <f>-0.377578028538462*(0.3)</f>
        <v>-0.11327340856153846</v>
      </c>
      <c r="D670">
        <f>-0.125859342846154*(0.3)</f>
        <v>-3.7757802853846154E-2</v>
      </c>
      <c r="E670">
        <f>-0.125859342846154*(0.3)</f>
        <v>-3.7757802853846154E-2</v>
      </c>
      <c r="F670">
        <f>-0.125859342846154*(0.3)</f>
        <v>-3.7757802853846154E-2</v>
      </c>
      <c r="G670">
        <f>-0.0755156057076923*(0.3)</f>
        <v>-2.2654681712307691E-2</v>
      </c>
      <c r="H670">
        <f>-0.125859342846154*(0.3)</f>
        <v>-3.7757802853846154E-2</v>
      </c>
      <c r="I670">
        <f>-0.125859342846154*(0.3)</f>
        <v>-3.7757802853846154E-2</v>
      </c>
      <c r="J670">
        <f>0.0251718685692308*(0.3)</f>
        <v>7.5515605707692293E-3</v>
      </c>
      <c r="K670">
        <f>-0.125859342846154*(0.3)</f>
        <v>-3.7757802853846154E-2</v>
      </c>
      <c r="L670">
        <f>-0.0616710779946154*(0.3)</f>
        <v>-1.8501323398384617E-2</v>
      </c>
      <c r="M670">
        <f>-0.138445277130769*(0.3)</f>
        <v>-4.1533583139230779E-2</v>
      </c>
      <c r="N670">
        <f>-0.125859342846154*(0.3)</f>
        <v>-3.7757802853846154E-2</v>
      </c>
    </row>
    <row r="671" spans="1:14" x14ac:dyDescent="0.25">
      <c r="A671">
        <f>-0.695433335*(0.3)</f>
        <v>-0.2086300005</v>
      </c>
      <c r="B671">
        <f>0.0534948719230769*(0.3)</f>
        <v>1.6048461576923079E-2</v>
      </c>
      <c r="C671">
        <f>0.160484615769231*(0.3)</f>
        <v>4.8145384730769236E-2</v>
      </c>
      <c r="D671">
        <f>0.0534948719230769*(0.3)</f>
        <v>1.6048461576923079E-2</v>
      </c>
      <c r="E671">
        <f>0.0534948719230769*(0.3)</f>
        <v>1.6048461576923079E-2</v>
      </c>
      <c r="F671">
        <f>0.0534948719230769*(0.3)</f>
        <v>1.6048461576923079E-2</v>
      </c>
      <c r="G671">
        <f>0.0320969231538462*(0.3)</f>
        <v>9.6290769461538465E-3</v>
      </c>
      <c r="H671">
        <f>0.0534948719230769*(0.3)</f>
        <v>1.6048461576923079E-2</v>
      </c>
      <c r="I671">
        <f>0.0534948719230769*(0.3)</f>
        <v>1.6048461576923079E-2</v>
      </c>
      <c r="J671">
        <f>-0.0106989743846154*(0.3)</f>
        <v>-3.2096923153846148E-3</v>
      </c>
      <c r="K671">
        <f>0.0534948719230769*(0.3)</f>
        <v>1.6048461576923079E-2</v>
      </c>
      <c r="L671">
        <f>0.0262124872423077*(0.3)</f>
        <v>7.863746172692308E-3</v>
      </c>
      <c r="M671">
        <f>0.0588443591153846*(0.3)</f>
        <v>1.7653307734615386E-2</v>
      </c>
      <c r="N671">
        <f>0.0534948719230769*(0.3)</f>
        <v>1.6048461576923079E-2</v>
      </c>
    </row>
    <row r="672" spans="1:14" x14ac:dyDescent="0.25">
      <c r="A672">
        <f>-0.379382807*(0.3)</f>
        <v>-0.11381484209999999</v>
      </c>
      <c r="B672">
        <f>0.0291832928461538*(0.3)</f>
        <v>8.7549878538461523E-3</v>
      </c>
      <c r="C672">
        <f>0.0875498785384615*(0.3)</f>
        <v>2.626496356153846E-2</v>
      </c>
      <c r="D672">
        <f>0.0291832928461538*(0.3)</f>
        <v>8.7549878538461523E-3</v>
      </c>
      <c r="E672">
        <f>0.0291832928461538*(0.3)</f>
        <v>8.7549878538461523E-3</v>
      </c>
      <c r="F672">
        <f>0.0291832928461538*(0.3)</f>
        <v>8.7549878538461523E-3</v>
      </c>
      <c r="G672">
        <f>0.0175099757076923*(0.3)</f>
        <v>5.2529927123076909E-3</v>
      </c>
      <c r="H672">
        <f>0.0291832928461538*(0.3)</f>
        <v>8.7549878538461523E-3</v>
      </c>
      <c r="I672">
        <f>0.0291832928461538*(0.3)</f>
        <v>8.7549878538461523E-3</v>
      </c>
      <c r="J672">
        <f>-0.00583665856923077*(0.3)</f>
        <v>-1.7509975707692301E-3</v>
      </c>
      <c r="K672">
        <f>0.0291832928461538*(0.3)</f>
        <v>8.7549878538461523E-3</v>
      </c>
      <c r="L672">
        <f>0.0142998134946154*(0.3)</f>
        <v>4.2899440483846144E-3</v>
      </c>
      <c r="M672">
        <f>0.0321016221307692*(0.3)</f>
        <v>9.6304866392307696E-3</v>
      </c>
      <c r="N672">
        <f>0.0291832928461538*(0.3)</f>
        <v>8.7549878538461523E-3</v>
      </c>
    </row>
    <row r="673" spans="1:14" x14ac:dyDescent="0.25">
      <c r="A673">
        <f>-16.21689052*(0.3)</f>
        <v>-4.8650671559999994</v>
      </c>
      <c r="B673">
        <f>1.24745311692308*(0.3)</f>
        <v>0.37423593507692304</v>
      </c>
      <c r="C673">
        <f>3.74235935076923*(0.3)</f>
        <v>1.1227078052307693</v>
      </c>
      <c r="D673">
        <f>1.24745311692308*(0.3)</f>
        <v>0.37423593507692304</v>
      </c>
      <c r="E673">
        <f>1.24745311692308*(0.3)</f>
        <v>0.37423593507692304</v>
      </c>
      <c r="F673">
        <f>1.24745311692308*(0.3)</f>
        <v>0.37423593507692304</v>
      </c>
      <c r="G673">
        <f>0.748471870153846*(0.3)</f>
        <v>0.22454156104615383</v>
      </c>
      <c r="H673">
        <f>1.24745311692308*(0.3)</f>
        <v>0.37423593507692304</v>
      </c>
      <c r="I673">
        <f>1.24745311692308*(0.3)</f>
        <v>0.37423593507692304</v>
      </c>
      <c r="J673">
        <f>-0.249490623384615*(0.3)</f>
        <v>-7.4847187015384592E-2</v>
      </c>
      <c r="K673">
        <f>1.24745311692308*(0.3)</f>
        <v>0.37423593507692304</v>
      </c>
      <c r="L673">
        <f>0.611252027292308*(0.3)</f>
        <v>0.1833756081876923</v>
      </c>
      <c r="M673">
        <f>1.37219842861538*(0.3)</f>
        <v>0.41165952858461541</v>
      </c>
      <c r="N673">
        <f>1.24745311692308*(0.3)</f>
        <v>0.37423593507692304</v>
      </c>
    </row>
    <row r="674" spans="1:14" x14ac:dyDescent="0.25">
      <c r="A674">
        <f>2.459106093*(0.3)</f>
        <v>0.73773182789999991</v>
      </c>
      <c r="B674">
        <f>-0.189162007153846*(0.3)</f>
        <v>-5.6748602146153841E-2</v>
      </c>
      <c r="C674">
        <f>-0.567486021461538*(0.3)</f>
        <v>-0.17024580643846154</v>
      </c>
      <c r="D674">
        <f>-0.189162007153846*(0.3)</f>
        <v>-5.6748602146153841E-2</v>
      </c>
      <c r="E674">
        <f>-0.189162007153846*(0.3)</f>
        <v>-5.6748602146153841E-2</v>
      </c>
      <c r="F674">
        <f>-0.189162007153846*(0.3)</f>
        <v>-5.6748602146153841E-2</v>
      </c>
      <c r="G674">
        <f>-0.113497204292308*(0.3)</f>
        <v>-3.4049161287692302E-2</v>
      </c>
      <c r="H674">
        <f>-0.189162007153846*(0.3)</f>
        <v>-5.6748602146153841E-2</v>
      </c>
      <c r="I674">
        <f>-0.189162007153846*(0.3)</f>
        <v>-5.6748602146153841E-2</v>
      </c>
      <c r="J674">
        <f>0.0378324014307692*(0.3)</f>
        <v>1.1349720429230766E-2</v>
      </c>
      <c r="K674">
        <f>-0.189162007153846*(0.3)</f>
        <v>-5.6748602146153841E-2</v>
      </c>
      <c r="L674">
        <f>-0.0926893835053846*(0.3)</f>
        <v>-2.7806815051615381E-2</v>
      </c>
      <c r="M674">
        <f>-0.208078207869231*(0.3)</f>
        <v>-6.2423462360769233E-2</v>
      </c>
      <c r="N674">
        <f>-0.189162007153846*(0.3)</f>
        <v>-5.6748602146153841E-2</v>
      </c>
    </row>
    <row r="675" spans="1:14" x14ac:dyDescent="0.25">
      <c r="A675">
        <f>-23.27956708*(0.3)</f>
        <v>-6.9838701240000001</v>
      </c>
      <c r="B675">
        <f>1.79073592923077*(0.3)</f>
        <v>0.53722077876923069</v>
      </c>
      <c r="C675">
        <f>5.37220778769231*(0.3)</f>
        <v>1.6116623363076921</v>
      </c>
      <c r="D675">
        <f>1.79073592923077*(0.3)</f>
        <v>0.53722077876923069</v>
      </c>
      <c r="E675">
        <f>1.79073592923077*(0.3)</f>
        <v>0.53722077876923069</v>
      </c>
      <c r="F675">
        <f>1.79073592923077*(0.3)</f>
        <v>0.53722077876923069</v>
      </c>
      <c r="G675">
        <f>1.07444155753846*(0.3)</f>
        <v>0.32233246726153841</v>
      </c>
      <c r="H675">
        <f>1.79073592923077*(0.3)</f>
        <v>0.53722077876923069</v>
      </c>
      <c r="I675">
        <f>1.79073592923077*(0.3)</f>
        <v>0.53722077876923069</v>
      </c>
      <c r="J675">
        <f>-0.358147185846154*(0.3)</f>
        <v>-0.10744415575384612</v>
      </c>
      <c r="K675">
        <f>1.79073592923077*(0.3)</f>
        <v>0.53722077876923069</v>
      </c>
      <c r="L675">
        <f>0.877460605323077*(0.3)</f>
        <v>0.26323818159692308</v>
      </c>
      <c r="M675">
        <f>1.96980952215385*(0.3)</f>
        <v>0.59094285664615387</v>
      </c>
      <c r="N675">
        <f>1.79073592923077*(0.3)</f>
        <v>0.53722077876923069</v>
      </c>
    </row>
    <row r="676" spans="1:14" x14ac:dyDescent="0.25">
      <c r="A676">
        <f>-1.167912087*(0.3)</f>
        <v>-0.35037362609999995</v>
      </c>
      <c r="B676">
        <f>0.0898393913076923*(0.3)</f>
        <v>2.6951817392307693E-2</v>
      </c>
      <c r="C676">
        <f>0.269518173923077*(0.3)</f>
        <v>8.0855452176923068E-2</v>
      </c>
      <c r="D676">
        <f>0.0898393913076923*(0.3)</f>
        <v>2.6951817392307693E-2</v>
      </c>
      <c r="E676">
        <f>0.0898393913076923*(0.3)</f>
        <v>2.6951817392307693E-2</v>
      </c>
      <c r="F676">
        <f>0.0898393913076923*(0.3)</f>
        <v>2.6951817392307693E-2</v>
      </c>
      <c r="G676">
        <f>0.0539036347846154*(0.3)</f>
        <v>1.6171090435384616E-2</v>
      </c>
      <c r="H676">
        <f>0.0898393913076923*(0.3)</f>
        <v>2.6951817392307693E-2</v>
      </c>
      <c r="I676">
        <f>0.0898393913076923*(0.3)</f>
        <v>2.6951817392307693E-2</v>
      </c>
      <c r="J676">
        <f>-0.0179678782615385*(0.3)</f>
        <v>-5.3903634784615373E-3</v>
      </c>
      <c r="K676">
        <f>0.0898393913076923*(0.3)</f>
        <v>2.6951817392307693E-2</v>
      </c>
      <c r="L676">
        <f>0.0440213017407692*(0.3)</f>
        <v>1.3206390522230769E-2</v>
      </c>
      <c r="M676">
        <f>0.0988233304384615*(0.3)</f>
        <v>2.9646999131538461E-2</v>
      </c>
      <c r="N676">
        <f>0.0898393913076923*(0.3)</f>
        <v>2.6951817392307693E-2</v>
      </c>
    </row>
    <row r="677" spans="1:14" x14ac:dyDescent="0.25">
      <c r="A677">
        <f>-32.84280579*(0.3)</f>
        <v>-9.8528417370000003</v>
      </c>
      <c r="B677">
        <f>2.52636967615385*(0.3)</f>
        <v>0.75791090284615381</v>
      </c>
      <c r="C677">
        <f>7.57910902846154*(0.3)</f>
        <v>2.2737327085384611</v>
      </c>
      <c r="D677">
        <f>2.52636967615385*(0.3)</f>
        <v>0.75791090284615381</v>
      </c>
      <c r="E677">
        <f>2.52636967615385*(0.3)</f>
        <v>0.75791090284615381</v>
      </c>
      <c r="F677">
        <f>2.52636967615385*(0.3)</f>
        <v>0.75791090284615381</v>
      </c>
      <c r="G677">
        <f>1.51582180569231*(0.3)</f>
        <v>0.45474654170769224</v>
      </c>
      <c r="H677">
        <f>2.52636967615385*(0.3)</f>
        <v>0.75791090284615381</v>
      </c>
      <c r="I677">
        <f>2.52636967615385*(0.3)</f>
        <v>0.75791090284615381</v>
      </c>
      <c r="J677">
        <f>-0.505273935230769*(0.3)</f>
        <v>-0.15158218056923073</v>
      </c>
      <c r="K677">
        <f>2.52636967615385*(0.3)</f>
        <v>0.75791090284615381</v>
      </c>
      <c r="L677">
        <f>1.23792114131538*(0.3)</f>
        <v>0.37137634239461537</v>
      </c>
      <c r="M677">
        <f>2.77900664376923*(0.3)</f>
        <v>0.83370199313076931</v>
      </c>
      <c r="N677">
        <f>2.52636967615385*(0.3)</f>
        <v>0.75791090284615381</v>
      </c>
    </row>
    <row r="678" spans="1:14" x14ac:dyDescent="0.25">
      <c r="A678">
        <f>2.277500912*(0.3)</f>
        <v>0.6832502735999999</v>
      </c>
      <c r="B678">
        <f>-0.175192377846154*(0.3)</f>
        <v>-5.2557713353846146E-2</v>
      </c>
      <c r="C678">
        <f>-0.525577133538461*(0.3)</f>
        <v>-0.15767314006153843</v>
      </c>
      <c r="D678">
        <f>-0.175192377846154*(0.3)</f>
        <v>-5.2557713353846146E-2</v>
      </c>
      <c r="E678">
        <f>-0.175192377846154*(0.3)</f>
        <v>-5.2557713353846146E-2</v>
      </c>
      <c r="F678">
        <f>-0.175192377846154*(0.3)</f>
        <v>-5.2557713353846146E-2</v>
      </c>
      <c r="G678">
        <f>-0.105115426707692*(0.3)</f>
        <v>-3.1534628012307685E-2</v>
      </c>
      <c r="H678">
        <f>-0.175192377846154*(0.3)</f>
        <v>-5.2557713353846146E-2</v>
      </c>
      <c r="I678">
        <f>-0.175192377846154*(0.3)</f>
        <v>-5.2557713353846146E-2</v>
      </c>
      <c r="J678">
        <f>0.0350384755692308*(0.3)</f>
        <v>1.0511542670769227E-2</v>
      </c>
      <c r="K678">
        <f>-0.175192377846154*(0.3)</f>
        <v>-5.2557713353846146E-2</v>
      </c>
      <c r="L678">
        <f>-0.0858442651446154*(0.3)</f>
        <v>-2.5753279543384612E-2</v>
      </c>
      <c r="M678">
        <f>-0.192711615630769*(0.3)</f>
        <v>-5.7813484689230761E-2</v>
      </c>
      <c r="N678">
        <f>-0.175192377846154*(0.3)</f>
        <v>-5.2557713353846146E-2</v>
      </c>
    </row>
    <row r="679" spans="1:14" x14ac:dyDescent="0.25">
      <c r="A679">
        <f>-43.25674033*(0.3)</f>
        <v>-12.977022098999999</v>
      </c>
      <c r="B679">
        <f>3.32744156384615*(0.3)</f>
        <v>0.998232469153846</v>
      </c>
      <c r="C679">
        <f>9.98232469153846*(0.3)</f>
        <v>2.9946974074615382</v>
      </c>
      <c r="D679">
        <f>3.32744156384615*(0.3)</f>
        <v>0.998232469153846</v>
      </c>
      <c r="E679">
        <f>3.32744156384615*(0.3)</f>
        <v>0.998232469153846</v>
      </c>
      <c r="F679">
        <f>3.32744156384615*(0.3)</f>
        <v>0.998232469153846</v>
      </c>
      <c r="G679">
        <f>1.99646493830769*(0.3)</f>
        <v>0.59893948149230758</v>
      </c>
      <c r="H679">
        <f>3.32744156384615*(0.3)</f>
        <v>0.998232469153846</v>
      </c>
      <c r="I679">
        <f>3.32744156384615*(0.3)</f>
        <v>0.998232469153846</v>
      </c>
      <c r="J679">
        <f>-0.665488312769231*(0.3)</f>
        <v>-0.19964649383076918</v>
      </c>
      <c r="K679">
        <f>3.32744156384615*(0.3)</f>
        <v>0.998232469153846</v>
      </c>
      <c r="L679">
        <f>1.63044636628462*(0.3)</f>
        <v>0.48913390988538452</v>
      </c>
      <c r="M679">
        <f>3.66018572023077*(0.3)</f>
        <v>1.0980557160692308</v>
      </c>
      <c r="N679">
        <f>3.32744156384615*(0.3)</f>
        <v>0.998232469153846</v>
      </c>
    </row>
    <row r="680" spans="1:14" x14ac:dyDescent="0.25">
      <c r="A680">
        <f>0.794540364*(0.3)</f>
        <v>0.23836210920000001</v>
      </c>
      <c r="B680">
        <f>-0.0611184895384615*(0.3)</f>
        <v>-1.8335546861538463E-2</v>
      </c>
      <c r="C680">
        <f>-0.183355468615385*(0.3)</f>
        <v>-5.5006640584615386E-2</v>
      </c>
      <c r="D680">
        <f>-0.0611184895384615*(0.3)</f>
        <v>-1.8335546861538463E-2</v>
      </c>
      <c r="E680">
        <f>-0.0611184895384615*(0.3)</f>
        <v>-1.8335546861538463E-2</v>
      </c>
      <c r="F680">
        <f>-0.0611184895384615*(0.3)</f>
        <v>-1.8335546861538463E-2</v>
      </c>
      <c r="G680">
        <f>-0.0366710937230769*(0.3)</f>
        <v>-1.1001328116923078E-2</v>
      </c>
      <c r="H680">
        <f>-0.0611184895384615*(0.3)</f>
        <v>-1.8335546861538463E-2</v>
      </c>
      <c r="I680">
        <f>-0.0611184895384615*(0.3)</f>
        <v>-1.8335546861538463E-2</v>
      </c>
      <c r="J680">
        <f>0.0122236979076923*(0.3)</f>
        <v>3.6671093723076916E-3</v>
      </c>
      <c r="K680">
        <f>-0.0611184895384615*(0.3)</f>
        <v>-1.8335546861538463E-2</v>
      </c>
      <c r="L680">
        <f>-0.0299480598738462*(0.3)</f>
        <v>-8.9844179621538477E-3</v>
      </c>
      <c r="M680">
        <f>-0.0672303384923077*(0.3)</f>
        <v>-2.0169101547692313E-2</v>
      </c>
      <c r="N680">
        <f>-0.0611184895384615*(0.3)</f>
        <v>-1.8335546861538463E-2</v>
      </c>
    </row>
    <row r="681" spans="1:14" x14ac:dyDescent="0.25">
      <c r="A681">
        <f>-54.81450149*(0.3)</f>
        <v>-16.444350446999998</v>
      </c>
      <c r="B681">
        <f>4.21650011461538*(0.3)</f>
        <v>1.2649500343846154</v>
      </c>
      <c r="C681">
        <f>12.6495003438462*(0.3)</f>
        <v>3.7948501031538457</v>
      </c>
      <c r="D681">
        <f>4.21650011461538*(0.3)</f>
        <v>1.2649500343846154</v>
      </c>
      <c r="E681">
        <f>4.21650011461538*(0.3)</f>
        <v>1.2649500343846154</v>
      </c>
      <c r="F681">
        <f>4.21650011461538*(0.3)</f>
        <v>1.2649500343846154</v>
      </c>
      <c r="G681">
        <f>2.52990006876923*(0.3)</f>
        <v>0.75897002063076924</v>
      </c>
      <c r="H681">
        <f>4.21650011461538*(0.3)</f>
        <v>1.2649500343846154</v>
      </c>
      <c r="I681">
        <f>4.21650011461538*(0.3)</f>
        <v>1.2649500343846154</v>
      </c>
      <c r="J681">
        <f>-0.843300022923077*(0.3)</f>
        <v>-0.25299000687692302</v>
      </c>
      <c r="K681">
        <f>4.21650011461538*(0.3)</f>
        <v>1.2649500343846154</v>
      </c>
      <c r="L681">
        <f>2.06608505616154*(0.3)</f>
        <v>0.61982551684846143</v>
      </c>
      <c r="M681">
        <f>4.63815012607692*(0.3)</f>
        <v>1.3914450378230769</v>
      </c>
      <c r="N681">
        <f>4.21650011461538*(0.3)</f>
        <v>1.2649500343846154</v>
      </c>
    </row>
    <row r="682" spans="1:14" x14ac:dyDescent="0.25">
      <c r="A682">
        <f>0.42222008*(0.3)</f>
        <v>0.12666602399999999</v>
      </c>
      <c r="B682">
        <f>-0.0324784676923077*(0.3)</f>
        <v>-9.7435403076923076E-3</v>
      </c>
      <c r="C682">
        <f>-0.0974354030769231*(0.3)</f>
        <v>-2.9230620923076923E-2</v>
      </c>
      <c r="D682">
        <f>-0.0324784676923077*(0.3)</f>
        <v>-9.7435403076923076E-3</v>
      </c>
      <c r="E682">
        <f>-0.0324784676923077*(0.3)</f>
        <v>-9.7435403076923076E-3</v>
      </c>
      <c r="F682">
        <f>-0.0324784676923077*(0.3)</f>
        <v>-9.7435403076923076E-3</v>
      </c>
      <c r="G682">
        <f>-0.0194870806153846*(0.3)</f>
        <v>-5.846124184615384E-3</v>
      </c>
      <c r="H682">
        <f>-0.0324784676923077*(0.3)</f>
        <v>-9.7435403076923076E-3</v>
      </c>
      <c r="I682">
        <f>-0.0324784676923077*(0.3)</f>
        <v>-9.7435403076923076E-3</v>
      </c>
      <c r="J682">
        <f>0.00649569353846154*(0.3)</f>
        <v>1.9487080615384613E-3</v>
      </c>
      <c r="K682">
        <f>-0.0324784676923077*(0.3)</f>
        <v>-9.7435403076923076E-3</v>
      </c>
      <c r="L682">
        <f>-0.0159144491692308*(0.3)</f>
        <v>-4.7743347507692305E-3</v>
      </c>
      <c r="M682">
        <f>-0.0357263144615385*(0.3)</f>
        <v>-1.071789433846154E-2</v>
      </c>
      <c r="N682">
        <f>-0.0324784676923077*(0.3)</f>
        <v>-9.7435403076923076E-3</v>
      </c>
    </row>
    <row r="683" spans="1:14" x14ac:dyDescent="0.25">
      <c r="A683">
        <f>-61.69508711*(0.3)</f>
        <v>-18.508526133</v>
      </c>
      <c r="B683">
        <f>4.74577593153846*(0.3)</f>
        <v>1.4237327794615384</v>
      </c>
      <c r="C683">
        <f>14.2373277946154*(0.3)</f>
        <v>4.2711983383846155</v>
      </c>
      <c r="D683">
        <f>4.74577593153846*(0.3)</f>
        <v>1.4237327794615384</v>
      </c>
      <c r="E683">
        <f>4.74577593153846*(0.3)</f>
        <v>1.4237327794615384</v>
      </c>
      <c r="F683">
        <f>4.74577593153846*(0.3)</f>
        <v>1.4237327794615384</v>
      </c>
      <c r="G683">
        <f>2.84746555892308*(0.3)</f>
        <v>0.85423966767692305</v>
      </c>
      <c r="H683">
        <f>4.74577593153846*(0.3)</f>
        <v>1.4237327794615384</v>
      </c>
      <c r="I683">
        <f>4.74577593153846*(0.3)</f>
        <v>1.4237327794615384</v>
      </c>
      <c r="J683">
        <f>-0.949155186307692*(0.3)</f>
        <v>-0.28474655589230763</v>
      </c>
      <c r="K683">
        <f>4.74577593153846*(0.3)</f>
        <v>1.4237327794615384</v>
      </c>
      <c r="L683">
        <f>2.32543020645385*(0.3)</f>
        <v>0.6976290619361537</v>
      </c>
      <c r="M683">
        <f>5.22035352469231*(0.3)</f>
        <v>1.5661060574076926</v>
      </c>
      <c r="N683">
        <f>4.74577593153846*(0.3)</f>
        <v>1.4237327794615384</v>
      </c>
    </row>
    <row r="684" spans="1:14" x14ac:dyDescent="0.25">
      <c r="A684">
        <f>-0.113112125*(0.3)</f>
        <v>-3.3933637499999995E-2</v>
      </c>
      <c r="B684">
        <f>0.00870093269230769*(0.3)</f>
        <v>2.6102798076923076E-3</v>
      </c>
      <c r="C684">
        <f>0.0261027980769231*(0.3)</f>
        <v>7.8308394230769216E-3</v>
      </c>
      <c r="D684">
        <f>0.00870093269230769*(0.3)</f>
        <v>2.6102798076923076E-3</v>
      </c>
      <c r="E684">
        <f>0.00870093269230769*(0.3)</f>
        <v>2.6102798076923076E-3</v>
      </c>
      <c r="F684">
        <f>0.00870093269230769*(0.3)</f>
        <v>2.6102798076923076E-3</v>
      </c>
      <c r="G684">
        <f>0.00522055961538462*(0.3)</f>
        <v>1.5661678846153845E-3</v>
      </c>
      <c r="H684">
        <f>0.00870093269230769*(0.3)</f>
        <v>2.6102798076923076E-3</v>
      </c>
      <c r="I684">
        <f>0.00870093269230769*(0.3)</f>
        <v>2.6102798076923076E-3</v>
      </c>
      <c r="J684">
        <f>-0.00174018653846154*(0.3)</f>
        <v>-5.2205596153846138E-4</v>
      </c>
      <c r="K684">
        <f>0.00870093269230769*(0.3)</f>
        <v>2.6102798076923076E-3</v>
      </c>
      <c r="L684">
        <f>0.00426345701923077*(0.3)</f>
        <v>1.2790371057692306E-3</v>
      </c>
      <c r="M684">
        <f>0.00957102596153846*(0.3)</f>
        <v>2.8713077884615387E-3</v>
      </c>
      <c r="N684">
        <f>0.00870093269230769*(0.3)</f>
        <v>2.6102798076923076E-3</v>
      </c>
    </row>
    <row r="685" spans="1:14" x14ac:dyDescent="0.25">
      <c r="A685">
        <f>-72.02713755*(0.3)</f>
        <v>-21.608141265</v>
      </c>
      <c r="B685">
        <f>5.54054904230769*(0.3)</f>
        <v>1.6621647126923078</v>
      </c>
      <c r="C685">
        <f>16.6216471269231*(0.3)</f>
        <v>4.9864941380769237</v>
      </c>
      <c r="D685">
        <f>5.54054904230769*(0.3)</f>
        <v>1.6621647126923078</v>
      </c>
      <c r="E685">
        <f>5.54054904230769*(0.3)</f>
        <v>1.6621647126923078</v>
      </c>
      <c r="F685">
        <f>5.54054904230769*(0.3)</f>
        <v>1.6621647126923078</v>
      </c>
      <c r="G685">
        <f>3.32432942538462*(0.3)</f>
        <v>0.99729882761538469</v>
      </c>
      <c r="H685">
        <f>5.54054904230769*(0.3)</f>
        <v>1.6621647126923078</v>
      </c>
      <c r="I685">
        <f>5.54054904230769*(0.3)</f>
        <v>1.6621647126923078</v>
      </c>
      <c r="J685">
        <f>-1.10810980846154*(0.3)</f>
        <v>-0.33243294253846151</v>
      </c>
      <c r="K685">
        <f>5.54054904230769*(0.3)</f>
        <v>1.6621647126923078</v>
      </c>
      <c r="L685">
        <f>2.71486903073077*(0.3)</f>
        <v>0.81446070921923075</v>
      </c>
      <c r="M685">
        <f>6.09460394653846*(0.3)</f>
        <v>1.8283811839615387</v>
      </c>
      <c r="N685">
        <f>5.54054904230769*(0.3)</f>
        <v>1.6621647126923078</v>
      </c>
    </row>
    <row r="686" spans="1:14" x14ac:dyDescent="0.25">
      <c r="A686">
        <f>1.493793283*(0.3)</f>
        <v>0.44813798490000001</v>
      </c>
      <c r="B686">
        <f>-0.114907175615385*(0.3)</f>
        <v>-3.4472152684615384E-2</v>
      </c>
      <c r="C686">
        <f>-0.344721526846154*(0.3)</f>
        <v>-0.10341645805384615</v>
      </c>
      <c r="D686">
        <f>-0.114907175615385*(0.3)</f>
        <v>-3.4472152684615384E-2</v>
      </c>
      <c r="E686">
        <f>-0.114907175615385*(0.3)</f>
        <v>-3.4472152684615384E-2</v>
      </c>
      <c r="F686">
        <f>-0.114907175615385*(0.3)</f>
        <v>-3.4472152684615384E-2</v>
      </c>
      <c r="G686">
        <f>-0.0689443053692308*(0.3)</f>
        <v>-2.068329161076923E-2</v>
      </c>
      <c r="H686">
        <f>-0.114907175615385*(0.3)</f>
        <v>-3.4472152684615384E-2</v>
      </c>
      <c r="I686">
        <f>-0.114907175615385*(0.3)</f>
        <v>-3.4472152684615384E-2</v>
      </c>
      <c r="J686">
        <f>0.0229814351230769*(0.3)</f>
        <v>6.8944305369230754E-3</v>
      </c>
      <c r="K686">
        <f>-0.114907175615385*(0.3)</f>
        <v>-3.4472152684615384E-2</v>
      </c>
      <c r="L686">
        <f>-0.0563045160515385*(0.3)</f>
        <v>-1.6891354815461536E-2</v>
      </c>
      <c r="M686">
        <f>-0.126397893176923*(0.3)</f>
        <v>-3.7919367953076925E-2</v>
      </c>
      <c r="N686">
        <f>-0.114907175615385*(0.3)</f>
        <v>-3.4472152684615384E-2</v>
      </c>
    </row>
    <row r="687" spans="1:14" x14ac:dyDescent="0.25">
      <c r="A687">
        <f>-85.86488558*(0.3)</f>
        <v>-25.759465674000001</v>
      </c>
      <c r="B687">
        <f>6.60499119846154*(0.3)</f>
        <v>1.9814973595384615</v>
      </c>
      <c r="C687">
        <f>19.8149735953846*(0.3)</f>
        <v>5.9444920786153839</v>
      </c>
      <c r="D687">
        <f>6.60499119846154*(0.3)</f>
        <v>1.9814973595384615</v>
      </c>
      <c r="E687">
        <f>6.60499119846154*(0.3)</f>
        <v>1.9814973595384615</v>
      </c>
      <c r="F687">
        <f>6.60499119846154*(0.3)</f>
        <v>1.9814973595384615</v>
      </c>
      <c r="G687">
        <f>3.96299471907692*(0.3)</f>
        <v>1.1888984157230769</v>
      </c>
      <c r="H687">
        <f>6.60499119846154*(0.3)</f>
        <v>1.9814973595384615</v>
      </c>
      <c r="I687">
        <f>6.60499119846154*(0.3)</f>
        <v>1.9814973595384615</v>
      </c>
      <c r="J687">
        <f>-1.32099823969231*(0.3)</f>
        <v>-0.39629947190769221</v>
      </c>
      <c r="K687">
        <f>6.60499119846154*(0.3)</f>
        <v>1.9814973595384615</v>
      </c>
      <c r="L687">
        <f>3.23644568724615*(0.3)</f>
        <v>0.97093370617384611</v>
      </c>
      <c r="M687">
        <f>7.26549031830769*(0.3)</f>
        <v>2.179647095492308</v>
      </c>
      <c r="N687">
        <f>6.60499119846154*(0.3)</f>
        <v>1.9814973595384615</v>
      </c>
    </row>
    <row r="688" spans="1:14" x14ac:dyDescent="0.25">
      <c r="A688">
        <f>2.224232708*(0.3)</f>
        <v>0.66726981240000005</v>
      </c>
      <c r="B688">
        <f>-0.171094823692308*(0.3)</f>
        <v>-5.1328447107692313E-2</v>
      </c>
      <c r="C688">
        <f>-0.513284471076923*(0.3)</f>
        <v>-0.15398534132307692</v>
      </c>
      <c r="D688">
        <f>-0.171094823692308*(0.3)</f>
        <v>-5.1328447107692313E-2</v>
      </c>
      <c r="E688">
        <f>-0.171094823692308*(0.3)</f>
        <v>-5.1328447107692313E-2</v>
      </c>
      <c r="F688">
        <f>-0.171094823692308*(0.3)</f>
        <v>-5.1328447107692313E-2</v>
      </c>
      <c r="G688">
        <f>-0.102656894215385*(0.3)</f>
        <v>-3.0797068264615386E-2</v>
      </c>
      <c r="H688">
        <f>-0.171094823692308*(0.3)</f>
        <v>-5.1328447107692313E-2</v>
      </c>
      <c r="I688">
        <f>-0.171094823692308*(0.3)</f>
        <v>-5.1328447107692313E-2</v>
      </c>
      <c r="J688">
        <f>0.0342189647384615*(0.3)</f>
        <v>1.0265689421538462E-2</v>
      </c>
      <c r="K688">
        <f>-0.171094823692308*(0.3)</f>
        <v>-5.1328447107692313E-2</v>
      </c>
      <c r="L688">
        <f>-0.0838364636092308*(0.3)</f>
        <v>-2.5150939082769233E-2</v>
      </c>
      <c r="M688">
        <f>-0.188204306061539*(0.3)</f>
        <v>-5.6461291818461552E-2</v>
      </c>
      <c r="N688">
        <f>-0.171094823692308*(0.3)</f>
        <v>-5.1328447107692313E-2</v>
      </c>
    </row>
    <row r="689" spans="1:14" x14ac:dyDescent="0.25">
      <c r="A689">
        <f>-6.305122006*(0.3)</f>
        <v>-1.8915366017999999</v>
      </c>
      <c r="B689">
        <f>0.485009385076923*(0.3)</f>
        <v>0.14550281552307692</v>
      </c>
      <c r="C689">
        <f>1.45502815523077*(0.3)</f>
        <v>0.43650844656923077</v>
      </c>
      <c r="D689">
        <f>0.485009385076923*(0.3)</f>
        <v>0.14550281552307692</v>
      </c>
      <c r="E689">
        <f>0.485009385076923*(0.3)</f>
        <v>0.14550281552307692</v>
      </c>
      <c r="F689">
        <f>0.485009385076923*(0.3)</f>
        <v>0.14550281552307692</v>
      </c>
      <c r="G689">
        <f>0.291005631046154*(0.3)</f>
        <v>8.7301689313846145E-2</v>
      </c>
      <c r="H689">
        <f>0.485009385076923*(0.3)</f>
        <v>0.14550281552307692</v>
      </c>
      <c r="I689">
        <f>0.485009385076923*(0.3)</f>
        <v>0.14550281552307692</v>
      </c>
      <c r="J689">
        <f>-0.0970018770153846*(0.3)</f>
        <v>-2.9100563104615378E-2</v>
      </c>
      <c r="K689">
        <f>0.485009385076923*(0.3)</f>
        <v>0.14550281552307692</v>
      </c>
      <c r="L689">
        <f>0.237654598687692*(0.3)</f>
        <v>7.1296379606307692E-2</v>
      </c>
      <c r="M689">
        <f>0.533510323584615*(0.3)</f>
        <v>0.16005309707538465</v>
      </c>
      <c r="N689">
        <f>0.485009385076923*(0.3)</f>
        <v>0.14550281552307692</v>
      </c>
    </row>
    <row r="690" spans="1:14" x14ac:dyDescent="0.25">
      <c r="A690">
        <f>0.474015002*(0.3)</f>
        <v>0.14220450060000001</v>
      </c>
      <c r="B690">
        <f>-0.0364626924615385*(0.3)</f>
        <v>-1.0938807738461538E-2</v>
      </c>
      <c r="C690">
        <f>-0.109388077384615*(0.3)</f>
        <v>-3.2816423215384617E-2</v>
      </c>
      <c r="D690">
        <f>-0.0364626924615385*(0.3)</f>
        <v>-1.0938807738461538E-2</v>
      </c>
      <c r="E690">
        <f>-0.0364626924615385*(0.3)</f>
        <v>-1.0938807738461538E-2</v>
      </c>
      <c r="F690">
        <f>-0.0364626924615385*(0.3)</f>
        <v>-1.0938807738461538E-2</v>
      </c>
      <c r="G690">
        <f>-0.0218776154769231*(0.3)</f>
        <v>-6.5632846430769233E-3</v>
      </c>
      <c r="H690">
        <f>-0.0364626924615385*(0.3)</f>
        <v>-1.0938807738461538E-2</v>
      </c>
      <c r="I690">
        <f>-0.0364626924615385*(0.3)</f>
        <v>-1.0938807738461538E-2</v>
      </c>
      <c r="J690">
        <f>0.00729253849230769*(0.3)</f>
        <v>2.1877615476923072E-3</v>
      </c>
      <c r="K690">
        <f>-0.0364626924615385*(0.3)</f>
        <v>-1.0938807738461538E-2</v>
      </c>
      <c r="L690">
        <f>-0.0178667193061538*(0.3)</f>
        <v>-5.3600157918461547E-3</v>
      </c>
      <c r="M690">
        <f>-0.0401089617076923*(0.3)</f>
        <v>-1.2032688512307694E-2</v>
      </c>
      <c r="N690">
        <f>-0.0364626924615385*(0.3)</f>
        <v>-1.0938807738461538E-2</v>
      </c>
    </row>
    <row r="691" spans="1:14" x14ac:dyDescent="0.25">
      <c r="A691">
        <f>-6.644711457*(0.3)</f>
        <v>-1.9934134370999999</v>
      </c>
      <c r="B691">
        <f>0.511131650538462*(0.3)</f>
        <v>0.15333949516153847</v>
      </c>
      <c r="C691">
        <f>1.53339495161538*(0.3)</f>
        <v>0.46001848548461538</v>
      </c>
      <c r="D691">
        <f>0.511131650538462*(0.3)</f>
        <v>0.15333949516153847</v>
      </c>
      <c r="E691">
        <f>0.511131650538462*(0.3)</f>
        <v>0.15333949516153847</v>
      </c>
      <c r="F691">
        <f>0.511131650538462*(0.3)</f>
        <v>0.15333949516153847</v>
      </c>
      <c r="G691">
        <f>0.306678990323077*(0.3)</f>
        <v>9.2003697096923076E-2</v>
      </c>
      <c r="H691">
        <f>0.511131650538462*(0.3)</f>
        <v>0.15333949516153847</v>
      </c>
      <c r="I691">
        <f>0.511131650538462*(0.3)</f>
        <v>0.15333949516153847</v>
      </c>
      <c r="J691">
        <f>-0.102226330107692*(0.3)</f>
        <v>-3.0667899032307686E-2</v>
      </c>
      <c r="K691">
        <f>0.511131650538462*(0.3)</f>
        <v>0.15333949516153847</v>
      </c>
      <c r="L691">
        <f>0.250454508763846*(0.3)</f>
        <v>7.5136352629153844E-2</v>
      </c>
      <c r="M691">
        <f>0.562244815592308*(0.3)</f>
        <v>0.16867344467769232</v>
      </c>
      <c r="N691">
        <f>0.511131650538462*(0.3)</f>
        <v>0.15333949516153847</v>
      </c>
    </row>
    <row r="692" spans="1:14" x14ac:dyDescent="0.25">
      <c r="A692">
        <f>-0.57372257*(0.3)</f>
        <v>-0.172116771</v>
      </c>
      <c r="B692">
        <f>0.0441325053846154*(0.3)</f>
        <v>1.3239751615384618E-2</v>
      </c>
      <c r="C692">
        <f>0.132397516153846*(0.3)</f>
        <v>3.9719254846153851E-2</v>
      </c>
      <c r="D692">
        <f>0.0441325053846154*(0.3)</f>
        <v>1.3239751615384618E-2</v>
      </c>
      <c r="E692">
        <f>0.0441325053846154*(0.3)</f>
        <v>1.3239751615384618E-2</v>
      </c>
      <c r="F692">
        <f>0.0441325053846154*(0.3)</f>
        <v>1.3239751615384618E-2</v>
      </c>
      <c r="G692">
        <f>0.0264795032307692*(0.3)</f>
        <v>7.9438509692307709E-3</v>
      </c>
      <c r="H692">
        <f>0.0441325053846154*(0.3)</f>
        <v>1.3239751615384618E-2</v>
      </c>
      <c r="I692">
        <f>0.0441325053846154*(0.3)</f>
        <v>1.3239751615384618E-2</v>
      </c>
      <c r="J692">
        <f>-0.00882650107692308*(0.3)</f>
        <v>-2.6479503230769229E-3</v>
      </c>
      <c r="K692">
        <f>0.0441325053846154*(0.3)</f>
        <v>1.3239751615384618E-2</v>
      </c>
      <c r="L692">
        <f>0.0216249276384615*(0.3)</f>
        <v>6.4874782915384623E-3</v>
      </c>
      <c r="M692">
        <f>0.0485457559230769*(0.3)</f>
        <v>1.4563726776923079E-2</v>
      </c>
      <c r="N692">
        <f>0.0441325053846154*(0.3)</f>
        <v>1.3239751615384618E-2</v>
      </c>
    </row>
    <row r="693" spans="1:14" x14ac:dyDescent="0.25">
      <c r="A693">
        <f>-7.032645958*(0.3)</f>
        <v>-2.1097937873999997</v>
      </c>
      <c r="B693">
        <f>0.540972766*(0.3)</f>
        <v>0.16229182979999998</v>
      </c>
      <c r="C693">
        <f>1.622918298*(0.3)</f>
        <v>0.48687548940000003</v>
      </c>
      <c r="D693">
        <f>0.540972766*(0.3)</f>
        <v>0.16229182979999998</v>
      </c>
      <c r="E693">
        <f>0.540972766*(0.3)</f>
        <v>0.16229182979999998</v>
      </c>
      <c r="F693">
        <f>0.540972766*(0.3)</f>
        <v>0.16229182979999998</v>
      </c>
      <c r="G693">
        <f>0.3245836596*(0.3)</f>
        <v>9.7375097879999983E-2</v>
      </c>
      <c r="H693">
        <f>0.540972766*(0.3)</f>
        <v>0.16229182979999998</v>
      </c>
      <c r="I693">
        <f>0.540972766*(0.3)</f>
        <v>0.16229182979999998</v>
      </c>
      <c r="J693">
        <f>-0.1081945532*(0.3)</f>
        <v>-3.2458365959999992E-2</v>
      </c>
      <c r="K693">
        <f>0.540972766*(0.3)</f>
        <v>0.16229182979999998</v>
      </c>
      <c r="L693">
        <f>0.26507665534*(0.3)</f>
        <v>7.952299660199999E-2</v>
      </c>
      <c r="M693">
        <f>0.5950700426*(0.3)</f>
        <v>0.17852101278000002</v>
      </c>
      <c r="N693">
        <f>0.540972766*(0.3)</f>
        <v>0.16229182979999998</v>
      </c>
    </row>
    <row r="694" spans="1:14" x14ac:dyDescent="0.25">
      <c r="A694">
        <f>-0.003992657*(0.3)</f>
        <v>-1.1977971E-3</v>
      </c>
      <c r="B694">
        <f>0.000307127461538462*(0.3)</f>
        <v>9.213823846153847E-5</v>
      </c>
      <c r="C694">
        <f>0.000921382384615385*(0.3)</f>
        <v>2.7641471538461537E-4</v>
      </c>
      <c r="D694">
        <f>0.000307127461538462*(0.3)</f>
        <v>9.213823846153847E-5</v>
      </c>
      <c r="E694">
        <f>0.000307127461538462*(0.3)</f>
        <v>9.213823846153847E-5</v>
      </c>
      <c r="F694">
        <f>0.000307127461538462*(0.3)</f>
        <v>9.213823846153847E-5</v>
      </c>
      <c r="G694">
        <f>0.000184276476923077*(0.3)</f>
        <v>5.5282943076923077E-5</v>
      </c>
      <c r="H694">
        <f>0.000307127461538462*(0.3)</f>
        <v>9.213823846153847E-5</v>
      </c>
      <c r="I694">
        <f>0.000307127461538462*(0.3)</f>
        <v>9.213823846153847E-5</v>
      </c>
      <c r="J694">
        <f>-0.0000614254923076923*(0.3)</f>
        <v>-1.8427647692307687E-5</v>
      </c>
      <c r="K694">
        <f>0.000307127461538462*(0.3)</f>
        <v>9.213823846153847E-5</v>
      </c>
      <c r="L694">
        <f>0.000150492456153846*(0.3)</f>
        <v>4.5147736846153842E-5</v>
      </c>
      <c r="M694">
        <f>0.000337840207692308*(0.3)</f>
        <v>1.0135206230769232E-4</v>
      </c>
      <c r="N694">
        <f>0.000307127461538462*(0.3)</f>
        <v>9.213823846153847E-5</v>
      </c>
    </row>
    <row r="695" spans="1:14" x14ac:dyDescent="0.25">
      <c r="A695">
        <f>-12.68171772*(0.3)</f>
        <v>-3.8045153159999998</v>
      </c>
      <c r="B695">
        <f>0.975516747692308*(0.3)</f>
        <v>0.2926550243076923</v>
      </c>
      <c r="C695">
        <f>2.92655024307692*(0.3)</f>
        <v>0.87796507292307679</v>
      </c>
      <c r="D695">
        <f>0.975516747692308*(0.3)</f>
        <v>0.2926550243076923</v>
      </c>
      <c r="E695">
        <f>0.975516747692308*(0.3)</f>
        <v>0.2926550243076923</v>
      </c>
      <c r="F695">
        <f>0.975516747692308*(0.3)</f>
        <v>0.2926550243076923</v>
      </c>
      <c r="G695">
        <f>0.585310048615385*(0.3)</f>
        <v>0.17559301458461538</v>
      </c>
      <c r="H695">
        <f>0.975516747692308*(0.3)</f>
        <v>0.2926550243076923</v>
      </c>
      <c r="I695">
        <f>0.975516747692308*(0.3)</f>
        <v>0.2926550243076923</v>
      </c>
      <c r="J695">
        <f>-0.195103349538461*(0.3)</f>
        <v>-5.8531004861538442E-2</v>
      </c>
      <c r="K695">
        <f>0.975516747692308*(0.3)</f>
        <v>0.2926550243076923</v>
      </c>
      <c r="L695">
        <f>0.478003206369231*(0.3)</f>
        <v>0.14340096191076923</v>
      </c>
      <c r="M695">
        <f>1.07306842246154*(0.3)</f>
        <v>0.32192052673846155</v>
      </c>
      <c r="N695">
        <f>0.975516747692308*(0.3)</f>
        <v>0.2926550243076923</v>
      </c>
    </row>
    <row r="696" spans="1:14" x14ac:dyDescent="0.25">
      <c r="A696">
        <f>3.797047496*(0.3)</f>
        <v>1.1391142487999999</v>
      </c>
      <c r="B696">
        <f>-0.292080576615385*(0.3)</f>
        <v>-8.7624172984615376E-2</v>
      </c>
      <c r="C696">
        <f>-0.876241729846154*(0.3)</f>
        <v>-0.26287251895384611</v>
      </c>
      <c r="D696">
        <f>-0.292080576615385*(0.3)</f>
        <v>-8.7624172984615376E-2</v>
      </c>
      <c r="E696">
        <f>-0.292080576615385*(0.3)</f>
        <v>-8.7624172984615376E-2</v>
      </c>
      <c r="F696">
        <f>-0.292080576615385*(0.3)</f>
        <v>-8.7624172984615376E-2</v>
      </c>
      <c r="G696">
        <f>-0.175248345969231*(0.3)</f>
        <v>-5.2574503790769223E-2</v>
      </c>
      <c r="H696">
        <f>-0.292080576615385*(0.3)</f>
        <v>-8.7624172984615376E-2</v>
      </c>
      <c r="I696">
        <f>-0.292080576615385*(0.3)</f>
        <v>-8.7624172984615376E-2</v>
      </c>
      <c r="J696">
        <f>0.0584161153230769*(0.3)</f>
        <v>1.7524834596923073E-2</v>
      </c>
      <c r="K696">
        <f>-0.292080576615385*(0.3)</f>
        <v>-8.7624172984615376E-2</v>
      </c>
      <c r="L696">
        <f>-0.143119482541538*(0.3)</f>
        <v>-4.2935844762461532E-2</v>
      </c>
      <c r="M696">
        <f>-0.321288634276923*(0.3)</f>
        <v>-9.6386590283076931E-2</v>
      </c>
      <c r="N696">
        <f>-0.292080576615385*(0.3)</f>
        <v>-8.7624172984615376E-2</v>
      </c>
    </row>
    <row r="697" spans="1:14" x14ac:dyDescent="0.25">
      <c r="A697">
        <f>-14.18751075*(0.3)</f>
        <v>-4.256253225</v>
      </c>
      <c r="B697">
        <f>1.09134698076923*(0.3)</f>
        <v>0.32740409423076916</v>
      </c>
      <c r="C697">
        <f>3.27404094230769*(0.3)</f>
        <v>0.98221228269230743</v>
      </c>
      <c r="D697">
        <f>1.09134698076923*(0.3)</f>
        <v>0.32740409423076916</v>
      </c>
      <c r="E697">
        <f>1.09134698076923*(0.3)</f>
        <v>0.32740409423076916</v>
      </c>
      <c r="F697">
        <f>1.09134698076923*(0.3)</f>
        <v>0.32740409423076916</v>
      </c>
      <c r="G697">
        <f>0.654808188461538*(0.3)</f>
        <v>0.19644245653846149</v>
      </c>
      <c r="H697">
        <f>1.09134698076923*(0.3)</f>
        <v>0.32740409423076916</v>
      </c>
      <c r="I697">
        <f>1.09134698076923*(0.3)</f>
        <v>0.32740409423076916</v>
      </c>
      <c r="J697">
        <f>-0.218269396153846*(0.3)</f>
        <v>-6.5480818846153824E-2</v>
      </c>
      <c r="K697">
        <f>1.09134698076923*(0.3)</f>
        <v>0.32740409423076916</v>
      </c>
      <c r="L697">
        <f>0.534760020576923*(0.3)</f>
        <v>0.16042800617307687</v>
      </c>
      <c r="M697">
        <f>1.20048167884615*(0.3)</f>
        <v>0.36014450365384615</v>
      </c>
      <c r="N697">
        <f>1.09134698076923*(0.3)</f>
        <v>0.32740409423076916</v>
      </c>
    </row>
    <row r="698" spans="1:14" x14ac:dyDescent="0.25">
      <c r="A698">
        <f>-0.017933638*(0.3)</f>
        <v>-5.3800913999999993E-3</v>
      </c>
      <c r="B698">
        <f>0.00137951061538462*(0.3)</f>
        <v>4.1385318461538455E-4</v>
      </c>
      <c r="C698">
        <f>0.00413853184615385*(0.3)</f>
        <v>1.2415595538461538E-3</v>
      </c>
      <c r="D698">
        <f>0.00137951061538462*(0.3)</f>
        <v>4.1385318461538455E-4</v>
      </c>
      <c r="E698">
        <f>0.00137951061538462*(0.3)</f>
        <v>4.1385318461538455E-4</v>
      </c>
      <c r="F698">
        <f>0.00137951061538462*(0.3)</f>
        <v>4.1385318461538455E-4</v>
      </c>
      <c r="G698">
        <f>0.000827706369230769*(0.3)</f>
        <v>2.4831191076923073E-4</v>
      </c>
      <c r="H698">
        <f>0.00137951061538462*(0.3)</f>
        <v>4.1385318461538455E-4</v>
      </c>
      <c r="I698">
        <f>0.00137951061538462*(0.3)</f>
        <v>4.1385318461538455E-4</v>
      </c>
      <c r="J698">
        <f>-0.000275902123076923*(0.3)</f>
        <v>-8.2770636923076884E-5</v>
      </c>
      <c r="K698">
        <f>0.00137951061538462*(0.3)</f>
        <v>4.1385318461538455E-4</v>
      </c>
      <c r="L698">
        <f>0.000675960201538461*(0.3)</f>
        <v>2.0278806046153844E-4</v>
      </c>
      <c r="M698">
        <f>0.00151746167692308*(0.3)</f>
        <v>4.5523850307692306E-4</v>
      </c>
      <c r="N698">
        <f>0.00137951061538462*(0.3)</f>
        <v>4.1385318461538455E-4</v>
      </c>
    </row>
    <row r="699" spans="1:14" x14ac:dyDescent="0.25">
      <c r="A699">
        <f>-13.58171855*(0.3)</f>
        <v>-4.0745155649999996</v>
      </c>
      <c r="B699">
        <f>1.04474758076923*(0.3)</f>
        <v>0.31342427423076924</v>
      </c>
      <c r="C699">
        <f>3.13424274230769*(0.3)</f>
        <v>0.94027282269230761</v>
      </c>
      <c r="D699">
        <f>1.04474758076923*(0.3)</f>
        <v>0.31342427423076924</v>
      </c>
      <c r="E699">
        <f>1.04474758076923*(0.3)</f>
        <v>0.31342427423076924</v>
      </c>
      <c r="F699">
        <f>1.04474758076923*(0.3)</f>
        <v>0.31342427423076924</v>
      </c>
      <c r="G699">
        <f>0.626848548461538*(0.3)</f>
        <v>0.18805456453846153</v>
      </c>
      <c r="H699">
        <f>1.04474758076923*(0.3)</f>
        <v>0.31342427423076924</v>
      </c>
      <c r="I699">
        <f>1.04474758076923*(0.3)</f>
        <v>0.31342427423076924</v>
      </c>
      <c r="J699">
        <f>-0.208949516153846*(0.3)</f>
        <v>-6.2684854846153826E-2</v>
      </c>
      <c r="K699">
        <f>1.04474758076923*(0.3)</f>
        <v>0.31342427423076924</v>
      </c>
      <c r="L699">
        <f>0.511926314576923*(0.3)</f>
        <v>0.15357789437307692</v>
      </c>
      <c r="M699">
        <f>1.14922233884615*(0.3)</f>
        <v>0.34476670165384621</v>
      </c>
      <c r="N699">
        <f>1.04474758076923*(0.3)</f>
        <v>0.31342427423076924</v>
      </c>
    </row>
    <row r="700" spans="1:14" x14ac:dyDescent="0.25">
      <c r="A700">
        <f>0.926663275*(0.3)</f>
        <v>0.27799898249999999</v>
      </c>
      <c r="B700">
        <f>-0.0712817903846154*(0.3)</f>
        <v>-2.1384537115384614E-2</v>
      </c>
      <c r="C700">
        <f>-0.213845371153846*(0.3)</f>
        <v>-6.4153611346153841E-2</v>
      </c>
      <c r="D700">
        <f>-0.0712817903846154*(0.3)</f>
        <v>-2.1384537115384614E-2</v>
      </c>
      <c r="E700">
        <f>-0.0712817903846154*(0.3)</f>
        <v>-2.1384537115384614E-2</v>
      </c>
      <c r="F700">
        <f>-0.0712817903846154*(0.3)</f>
        <v>-2.1384537115384614E-2</v>
      </c>
      <c r="G700">
        <f>-0.0427690742307692*(0.3)</f>
        <v>-1.2830722269230767E-2</v>
      </c>
      <c r="H700">
        <f>-0.0712817903846154*(0.3)</f>
        <v>-2.1384537115384614E-2</v>
      </c>
      <c r="I700">
        <f>-0.0712817903846154*(0.3)</f>
        <v>-2.1384537115384614E-2</v>
      </c>
      <c r="J700">
        <f>0.0142563580769231*(0.3)</f>
        <v>4.2769074230769215E-3</v>
      </c>
      <c r="K700">
        <f>-0.0712817903846154*(0.3)</f>
        <v>-2.1384537115384614E-2</v>
      </c>
      <c r="L700">
        <f>-0.0349280772884615*(0.3)</f>
        <v>-1.0478423186538461E-2</v>
      </c>
      <c r="M700">
        <f>-0.0784099694230769*(0.3)</f>
        <v>-2.3522990826923076E-2</v>
      </c>
      <c r="N700">
        <f>-0.0712817903846154*(0.3)</f>
        <v>-2.1384537115384614E-2</v>
      </c>
    </row>
    <row r="701" spans="1:14" x14ac:dyDescent="0.25">
      <c r="A701">
        <f>-18.18062672*(0.3)</f>
        <v>-5.4541880159999998</v>
      </c>
      <c r="B701">
        <f>1.39850974769231*(0.3)</f>
        <v>0.41955292430769225</v>
      </c>
      <c r="C701">
        <f>4.19552924307692*(0.3)</f>
        <v>1.2586587729230767</v>
      </c>
      <c r="D701">
        <f>1.39850974769231*(0.3)</f>
        <v>0.41955292430769225</v>
      </c>
      <c r="E701">
        <f>1.39850974769231*(0.3)</f>
        <v>0.41955292430769225</v>
      </c>
      <c r="F701">
        <f>1.39850974769231*(0.3)</f>
        <v>0.41955292430769225</v>
      </c>
      <c r="G701">
        <f>0.839105848615385*(0.3)</f>
        <v>0.25173175458461533</v>
      </c>
      <c r="H701">
        <f>1.39850974769231*(0.3)</f>
        <v>0.41955292430769225</v>
      </c>
      <c r="I701">
        <f>1.39850974769231*(0.3)</f>
        <v>0.41955292430769225</v>
      </c>
      <c r="J701">
        <f>-0.279701949538461*(0.3)</f>
        <v>-8.3910584861538434E-2</v>
      </c>
      <c r="K701">
        <f>1.39850974769231*(0.3)</f>
        <v>0.41955292430769225</v>
      </c>
      <c r="L701">
        <f>0.685269776369231*(0.3)</f>
        <v>0.2055809329107692</v>
      </c>
      <c r="M701">
        <f>1.53836072246154*(0.3)</f>
        <v>0.46150821673846154</v>
      </c>
      <c r="N701">
        <f>1.39850974769231*(0.3)</f>
        <v>0.41955292430769225</v>
      </c>
    </row>
    <row r="702" spans="1:14" x14ac:dyDescent="0.25">
      <c r="A702">
        <f>1.154888499*(0.3)</f>
        <v>0.34646654969999996</v>
      </c>
      <c r="B702">
        <f>-0.0888375768461538*(0.3)</f>
        <v>-2.6651273053846153E-2</v>
      </c>
      <c r="C702">
        <f>-0.266512730538462*(0.3)</f>
        <v>-7.9953819161538459E-2</v>
      </c>
      <c r="D702">
        <f>-0.0888375768461538*(0.3)</f>
        <v>-2.6651273053846153E-2</v>
      </c>
      <c r="E702">
        <f>-0.0888375768461538*(0.3)</f>
        <v>-2.6651273053846153E-2</v>
      </c>
      <c r="F702">
        <f>-0.0888375768461538*(0.3)</f>
        <v>-2.6651273053846153E-2</v>
      </c>
      <c r="G702">
        <f>-0.0533025461076923*(0.3)</f>
        <v>-1.599076383230769E-2</v>
      </c>
      <c r="H702">
        <f>-0.0888375768461538*(0.3)</f>
        <v>-2.6651273053846153E-2</v>
      </c>
      <c r="I702">
        <f>-0.0888375768461538*(0.3)</f>
        <v>-2.6651273053846153E-2</v>
      </c>
      <c r="J702">
        <f>0.0177675153692308*(0.3)</f>
        <v>5.330254610769229E-3</v>
      </c>
      <c r="K702">
        <f>-0.0888375768461538*(0.3)</f>
        <v>-2.6651273053846153E-2</v>
      </c>
      <c r="L702">
        <f>-0.0435304126546154*(0.3)</f>
        <v>-1.3059123796384613E-2</v>
      </c>
      <c r="M702">
        <f>-0.0977213345307692*(0.3)</f>
        <v>-2.931640035923077E-2</v>
      </c>
      <c r="N702">
        <f>-0.0888375768461538*(0.3)</f>
        <v>-2.6651273053846153E-2</v>
      </c>
    </row>
    <row r="703" spans="1:14" x14ac:dyDescent="0.25">
      <c r="A703">
        <f>-24.25408084*(0.3)</f>
        <v>-7.2762242519999996</v>
      </c>
      <c r="B703">
        <f>1.86569852615385*(0.3)</f>
        <v>0.55970955784615384</v>
      </c>
      <c r="C703">
        <f>5.59709557846154*(0.3)</f>
        <v>1.6791286735384616</v>
      </c>
      <c r="D703">
        <f>1.86569852615385*(0.3)</f>
        <v>0.55970955784615384</v>
      </c>
      <c r="E703">
        <f>1.86569852615385*(0.3)</f>
        <v>0.55970955784615384</v>
      </c>
      <c r="F703">
        <f>1.86569852615385*(0.3)</f>
        <v>0.55970955784615384</v>
      </c>
      <c r="G703">
        <f>1.11941911569231*(0.3)</f>
        <v>0.33582573470769228</v>
      </c>
      <c r="H703">
        <f>1.86569852615385*(0.3)</f>
        <v>0.55970955784615384</v>
      </c>
      <c r="I703">
        <f>1.86569852615385*(0.3)</f>
        <v>0.55970955784615384</v>
      </c>
      <c r="J703">
        <f>-0.373139705230769*(0.3)</f>
        <v>-0.11194191156923075</v>
      </c>
      <c r="K703">
        <f>1.86569852615385*(0.3)</f>
        <v>0.55970955784615384</v>
      </c>
      <c r="L703">
        <f>0.914192277815385*(0.3)</f>
        <v>0.27425768334461537</v>
      </c>
      <c r="M703">
        <f>2.05226837876923*(0.3)</f>
        <v>0.61568051363076925</v>
      </c>
      <c r="N703">
        <f>1.86569852615385*(0.3)</f>
        <v>0.55970955784615384</v>
      </c>
    </row>
    <row r="704" spans="1:14" x14ac:dyDescent="0.25">
      <c r="A704">
        <f>-1.006224593*(0.3)</f>
        <v>-0.30186737790000001</v>
      </c>
      <c r="B704">
        <f>0.0774018917692308*(0.3)</f>
        <v>2.3220567530769228E-2</v>
      </c>
      <c r="C704">
        <f>0.232205675307692*(0.3)</f>
        <v>6.9661702592307681E-2</v>
      </c>
      <c r="D704">
        <f>0.0774018917692308*(0.3)</f>
        <v>2.3220567530769228E-2</v>
      </c>
      <c r="E704">
        <f>0.0774018917692308*(0.3)</f>
        <v>2.3220567530769228E-2</v>
      </c>
      <c r="F704">
        <f>0.0774018917692308*(0.3)</f>
        <v>2.3220567530769228E-2</v>
      </c>
      <c r="G704">
        <f>0.0464411350615385*(0.3)</f>
        <v>1.3932340518461537E-2</v>
      </c>
      <c r="H704">
        <f>0.0774018917692308*(0.3)</f>
        <v>2.3220567530769228E-2</v>
      </c>
      <c r="I704">
        <f>0.0774018917692308*(0.3)</f>
        <v>2.3220567530769228E-2</v>
      </c>
      <c r="J704">
        <f>-0.0154803783538461*(0.3)</f>
        <v>-4.6441135061538446E-3</v>
      </c>
      <c r="K704">
        <f>0.0774018917692308*(0.3)</f>
        <v>2.3220567530769228E-2</v>
      </c>
      <c r="L704">
        <f>0.0379269269669231*(0.3)</f>
        <v>1.1378078090076923E-2</v>
      </c>
      <c r="M704">
        <f>0.0851420809461538*(0.3)</f>
        <v>2.5542624283846151E-2</v>
      </c>
      <c r="N704">
        <f>0.0774018917692308*(0.3)</f>
        <v>2.3220567530769228E-2</v>
      </c>
    </row>
    <row r="705" spans="1:14" x14ac:dyDescent="0.25">
      <c r="A705">
        <f>-3.878594206*(0.3)</f>
        <v>-1.1635782617999999</v>
      </c>
      <c r="B705">
        <f>0.298353400461538*(0.3)</f>
        <v>8.9506020138461539E-2</v>
      </c>
      <c r="C705">
        <f>0.895060201384615*(0.3)</f>
        <v>0.26851806041538462</v>
      </c>
      <c r="D705">
        <f>0.298353400461538*(0.3)</f>
        <v>8.9506020138461539E-2</v>
      </c>
      <c r="E705">
        <f>0.298353400461538*(0.3)</f>
        <v>8.9506020138461539E-2</v>
      </c>
      <c r="F705">
        <f>0.298353400461538*(0.3)</f>
        <v>8.9506020138461539E-2</v>
      </c>
      <c r="G705">
        <f>0.179012040276923*(0.3)</f>
        <v>5.3703612083076925E-2</v>
      </c>
      <c r="H705">
        <f>0.298353400461538*(0.3)</f>
        <v>8.9506020138461539E-2</v>
      </c>
      <c r="I705">
        <f>0.298353400461538*(0.3)</f>
        <v>8.9506020138461539E-2</v>
      </c>
      <c r="J705">
        <f>-0.0596706800923077*(0.3)</f>
        <v>-1.7901204027692304E-2</v>
      </c>
      <c r="K705">
        <f>0.298353400461538*(0.3)</f>
        <v>8.9506020138461539E-2</v>
      </c>
      <c r="L705">
        <f>0.146193166226154*(0.3)</f>
        <v>4.3857949867846156E-2</v>
      </c>
      <c r="M705">
        <f>0.328188740507692*(0.3)</f>
        <v>9.8456622152307688E-2</v>
      </c>
      <c r="N705">
        <f>0.298353400461538*(0.3)</f>
        <v>8.9506020138461539E-2</v>
      </c>
    </row>
    <row r="706" spans="1:14" x14ac:dyDescent="0.25">
      <c r="A706">
        <f>-1.237408112*(0.3)</f>
        <v>-0.37122243360000001</v>
      </c>
      <c r="B706">
        <f>0.0951852393846154*(0.3)</f>
        <v>2.8555571815384616E-2</v>
      </c>
      <c r="C706">
        <f>0.285555718153846*(0.3)</f>
        <v>8.5666715446153854E-2</v>
      </c>
      <c r="D706">
        <f>0.0951852393846154*(0.3)</f>
        <v>2.8555571815384616E-2</v>
      </c>
      <c r="E706">
        <f>0.0951852393846154*(0.3)</f>
        <v>2.8555571815384616E-2</v>
      </c>
      <c r="F706">
        <f>0.0951852393846154*(0.3)</f>
        <v>2.8555571815384616E-2</v>
      </c>
      <c r="G706">
        <f>0.0571111436307692*(0.3)</f>
        <v>1.7133343089230767E-2</v>
      </c>
      <c r="H706">
        <f>0.0951852393846154*(0.3)</f>
        <v>2.8555571815384616E-2</v>
      </c>
      <c r="I706">
        <f>0.0951852393846154*(0.3)</f>
        <v>2.8555571815384616E-2</v>
      </c>
      <c r="J706">
        <f>-0.0190370478769231*(0.3)</f>
        <v>-5.7111143630769216E-3</v>
      </c>
      <c r="K706">
        <f>0.0951852393846154*(0.3)</f>
        <v>2.8555571815384616E-2</v>
      </c>
      <c r="L706">
        <f>0.0466407672984615*(0.3)</f>
        <v>1.3992230189538461E-2</v>
      </c>
      <c r="M706">
        <f>0.104703763323077*(0.3)</f>
        <v>3.1411128996923075E-2</v>
      </c>
      <c r="N706">
        <f>0.0951852393846154*(0.3)</f>
        <v>2.8555571815384616E-2</v>
      </c>
    </row>
    <row r="707" spans="1:14" x14ac:dyDescent="0.25">
      <c r="A707">
        <f>-4.679459539*(0.3)</f>
        <v>-1.4038378616999998</v>
      </c>
      <c r="B707">
        <f>0.359958426076923*(0.3)</f>
        <v>0.10798752782307693</v>
      </c>
      <c r="C707">
        <f>1.07987527823077*(0.3)</f>
        <v>0.32396258346923074</v>
      </c>
      <c r="D707">
        <f>0.359958426076923*(0.3)</f>
        <v>0.10798752782307693</v>
      </c>
      <c r="E707">
        <f>0.359958426076923*(0.3)</f>
        <v>0.10798752782307693</v>
      </c>
      <c r="F707">
        <f>0.359958426076923*(0.3)</f>
        <v>0.10798752782307693</v>
      </c>
      <c r="G707">
        <f>0.215975055646154*(0.3)</f>
        <v>6.4792516693846156E-2</v>
      </c>
      <c r="H707">
        <f>0.359958426076923*(0.3)</f>
        <v>0.10798752782307693</v>
      </c>
      <c r="I707">
        <f>0.359958426076923*(0.3)</f>
        <v>0.10798752782307693</v>
      </c>
      <c r="J707">
        <f>-0.0719916852153846*(0.3)</f>
        <v>-2.1597505564615378E-2</v>
      </c>
      <c r="K707">
        <f>0.359958426076923*(0.3)</f>
        <v>0.10798752782307693</v>
      </c>
      <c r="L707">
        <f>0.176379628777692*(0.3)</f>
        <v>5.291388863330769E-2</v>
      </c>
      <c r="M707">
        <f>0.395954268684615*(0.3)</f>
        <v>0.11878628060538463</v>
      </c>
      <c r="N707">
        <f>0.359958426076923*(0.3)</f>
        <v>0.10798752782307693</v>
      </c>
    </row>
    <row r="708" spans="1:14" x14ac:dyDescent="0.25">
      <c r="A708">
        <f>0.765254002*(0.3)</f>
        <v>0.2295762006</v>
      </c>
      <c r="B708">
        <f>-0.0588656924615385*(0.3)</f>
        <v>-1.7659707738461539E-2</v>
      </c>
      <c r="C708">
        <f>-0.176597077384615*(0.3)</f>
        <v>-5.2979123215384616E-2</v>
      </c>
      <c r="D708">
        <f>-0.0588656924615385*(0.3)</f>
        <v>-1.7659707738461539E-2</v>
      </c>
      <c r="E708">
        <f>-0.0588656924615385*(0.3)</f>
        <v>-1.7659707738461539E-2</v>
      </c>
      <c r="F708">
        <f>-0.0588656924615385*(0.3)</f>
        <v>-1.7659707738461539E-2</v>
      </c>
      <c r="G708">
        <f>-0.0353194154769231*(0.3)</f>
        <v>-1.0595824643076924E-2</v>
      </c>
      <c r="H708">
        <f>-0.0588656924615385*(0.3)</f>
        <v>-1.7659707738461539E-2</v>
      </c>
      <c r="I708">
        <f>-0.0588656924615385*(0.3)</f>
        <v>-1.7659707738461539E-2</v>
      </c>
      <c r="J708">
        <f>0.0117731384923077*(0.3)</f>
        <v>3.5319415476923067E-3</v>
      </c>
      <c r="K708">
        <f>-0.0588656924615385*(0.3)</f>
        <v>-1.7659707738461539E-2</v>
      </c>
      <c r="L708">
        <f>-0.0288441893061538*(0.3)</f>
        <v>-8.6532567918461544E-3</v>
      </c>
      <c r="M708">
        <f>-0.0647522617076923*(0.3)</f>
        <v>-1.9425678512307695E-2</v>
      </c>
      <c r="N708">
        <f>-0.0588656924615385*(0.3)</f>
        <v>-1.7659707738461539E-2</v>
      </c>
    </row>
    <row r="709" spans="1:14" x14ac:dyDescent="0.25">
      <c r="A709">
        <f>-4.288915525*(0.3)</f>
        <v>-1.2866746575000001</v>
      </c>
      <c r="B709">
        <f>0.329916578846154*(0.3)</f>
        <v>9.8974973653846166E-2</v>
      </c>
      <c r="C709">
        <f>0.989749736538462*(0.3)</f>
        <v>0.2969249209615385</v>
      </c>
      <c r="D709">
        <f>0.329916578846154*(0.3)</f>
        <v>9.8974973653846166E-2</v>
      </c>
      <c r="E709">
        <f>0.329916578846154*(0.3)</f>
        <v>9.8974973653846166E-2</v>
      </c>
      <c r="F709">
        <f>0.329916578846154*(0.3)</f>
        <v>9.8974973653846166E-2</v>
      </c>
      <c r="G709">
        <f>0.197949947307692*(0.3)</f>
        <v>5.9384984192307699E-2</v>
      </c>
      <c r="H709">
        <f>0.329916578846154*(0.3)</f>
        <v>9.8974973653846166E-2</v>
      </c>
      <c r="I709">
        <f>0.329916578846154*(0.3)</f>
        <v>9.8974973653846166E-2</v>
      </c>
      <c r="J709">
        <f>-0.0659833157692308*(0.3)</f>
        <v>-1.979499473076923E-2</v>
      </c>
      <c r="K709">
        <f>0.329916578846154*(0.3)</f>
        <v>9.8974973653846166E-2</v>
      </c>
      <c r="L709">
        <f>0.161659123634615*(0.3)</f>
        <v>4.8497737090384622E-2</v>
      </c>
      <c r="M709">
        <f>0.362908236730769*(0.3)</f>
        <v>0.1088724710192308</v>
      </c>
      <c r="N709">
        <f>0.329916578846154*(0.3)</f>
        <v>9.8974973653846166E-2</v>
      </c>
    </row>
    <row r="710" spans="1:14" x14ac:dyDescent="0.25">
      <c r="A710">
        <f>0.511070439*(0.3)</f>
        <v>0.1533211317</v>
      </c>
      <c r="B710">
        <f>-0.0393131106923077*(0.3)</f>
        <v>-1.1793933207692309E-2</v>
      </c>
      <c r="C710">
        <f>-0.117939332076923*(0.3)</f>
        <v>-3.5381799623076922E-2</v>
      </c>
      <c r="D710">
        <f>-0.0393131106923077*(0.3)</f>
        <v>-1.1793933207692309E-2</v>
      </c>
      <c r="E710">
        <f>-0.0393131106923077*(0.3)</f>
        <v>-1.1793933207692309E-2</v>
      </c>
      <c r="F710">
        <f>-0.0393131106923077*(0.3)</f>
        <v>-1.1793933207692309E-2</v>
      </c>
      <c r="G710">
        <f>-0.0235878664153846*(0.3)</f>
        <v>-7.0763599246153851E-3</v>
      </c>
      <c r="H710">
        <f>-0.0393131106923077*(0.3)</f>
        <v>-1.1793933207692309E-2</v>
      </c>
      <c r="I710">
        <f>-0.0393131106923077*(0.3)</f>
        <v>-1.1793933207692309E-2</v>
      </c>
      <c r="J710">
        <f>0.00786262213846154*(0.3)</f>
        <v>2.3587866415384611E-3</v>
      </c>
      <c r="K710">
        <f>-0.0393131106923077*(0.3)</f>
        <v>-1.1793933207692309E-2</v>
      </c>
      <c r="L710">
        <f>-0.0192634242392308*(0.3)</f>
        <v>-5.7790272717692312E-3</v>
      </c>
      <c r="M710">
        <f>-0.0432444217615385*(0.3)</f>
        <v>-1.297332652846154E-2</v>
      </c>
      <c r="N710">
        <f>-0.0393131106923077*(0.3)</f>
        <v>-1.1793933207692309E-2</v>
      </c>
    </row>
    <row r="711" spans="1:14" x14ac:dyDescent="0.25">
      <c r="A711">
        <f>-3.359430429*(0.3)</f>
        <v>-1.0078291287000001</v>
      </c>
      <c r="B711">
        <f>0.258417725307692*(0.3)</f>
        <v>7.7525317592307685E-2</v>
      </c>
      <c r="C711">
        <f>0.775253175923077*(0.3)</f>
        <v>0.23257595277692308</v>
      </c>
      <c r="D711">
        <f>0.258417725307692*(0.3)</f>
        <v>7.7525317592307685E-2</v>
      </c>
      <c r="E711">
        <f>0.258417725307692*(0.3)</f>
        <v>7.7525317592307685E-2</v>
      </c>
      <c r="F711">
        <f>0.258417725307692*(0.3)</f>
        <v>7.7525317592307685E-2</v>
      </c>
      <c r="G711">
        <f>0.155050635184615*(0.3)</f>
        <v>4.6515190555384611E-2</v>
      </c>
      <c r="H711">
        <f>0.258417725307692*(0.3)</f>
        <v>7.7525317592307685E-2</v>
      </c>
      <c r="I711">
        <f>0.258417725307692*(0.3)</f>
        <v>7.7525317592307685E-2</v>
      </c>
      <c r="J711">
        <f>-0.0516835450615385*(0.3)</f>
        <v>-1.5505063518461535E-2</v>
      </c>
      <c r="K711">
        <f>0.258417725307692*(0.3)</f>
        <v>7.7525317592307685E-2</v>
      </c>
      <c r="L711">
        <f>0.126624685400769*(0.3)</f>
        <v>3.7987405620230771E-2</v>
      </c>
      <c r="M711">
        <f>0.284259497838462*(0.3)</f>
        <v>8.5277849351538468E-2</v>
      </c>
      <c r="N711">
        <f>0.258417725307692*(0.3)</f>
        <v>7.7525317592307685E-2</v>
      </c>
    </row>
    <row r="712" spans="1:14" x14ac:dyDescent="0.25">
      <c r="A712">
        <f>-1.747000407*(0.3)</f>
        <v>-0.52410012210000001</v>
      </c>
      <c r="B712">
        <f>0.134384646692308*(0.3)</f>
        <v>4.031539400769231E-2</v>
      </c>
      <c r="C712">
        <f>0.403153940076923*(0.3)</f>
        <v>0.12094618202307693</v>
      </c>
      <c r="D712">
        <f>0.134384646692308*(0.3)</f>
        <v>4.031539400769231E-2</v>
      </c>
      <c r="E712">
        <f>0.134384646692308*(0.3)</f>
        <v>4.031539400769231E-2</v>
      </c>
      <c r="F712">
        <f>0.134384646692308*(0.3)</f>
        <v>4.031539400769231E-2</v>
      </c>
      <c r="G712">
        <f>0.0806307880153846*(0.3)</f>
        <v>2.4189236404615386E-2</v>
      </c>
      <c r="H712">
        <f>0.134384646692308*(0.3)</f>
        <v>4.031539400769231E-2</v>
      </c>
      <c r="I712">
        <f>0.134384646692308*(0.3)</f>
        <v>4.031539400769231E-2</v>
      </c>
      <c r="J712">
        <f>-0.0268769293384615*(0.3)</f>
        <v>-8.0630788015384602E-3</v>
      </c>
      <c r="K712">
        <f>0.134384646692308*(0.3)</f>
        <v>4.031539400769231E-2</v>
      </c>
      <c r="L712">
        <f>0.0658484768792308*(0.3)</f>
        <v>1.9754543063769232E-2</v>
      </c>
      <c r="M712">
        <f>0.147823111361539*(0.3)</f>
        <v>4.4346933408461547E-2</v>
      </c>
      <c r="N712">
        <f>0.134384646692308*(0.3)</f>
        <v>4.031539400769231E-2</v>
      </c>
    </row>
    <row r="713" spans="1:14" x14ac:dyDescent="0.25">
      <c r="A713">
        <f>-6.169635303*(0.3)</f>
        <v>-1.8508905908999997</v>
      </c>
      <c r="B713">
        <f>0.474587331*(0.3)</f>
        <v>0.14237619930000001</v>
      </c>
      <c r="C713">
        <f>1.423761993*(0.3)</f>
        <v>0.42712859790000002</v>
      </c>
      <c r="D713">
        <f>0.474587331*(0.3)</f>
        <v>0.14237619930000001</v>
      </c>
      <c r="E713">
        <f>0.474587331*(0.3)</f>
        <v>0.14237619930000001</v>
      </c>
      <c r="F713">
        <f>0.474587331*(0.3)</f>
        <v>0.14237619930000001</v>
      </c>
      <c r="G713">
        <f>0.2847523986*(0.3)</f>
        <v>8.5425719580000004E-2</v>
      </c>
      <c r="H713">
        <f>0.474587331*(0.3)</f>
        <v>0.14237619930000001</v>
      </c>
      <c r="I713">
        <f>0.474587331*(0.3)</f>
        <v>0.14237619930000001</v>
      </c>
      <c r="J713">
        <f>-0.0949174662*(0.3)</f>
        <v>-2.8475239859999994E-2</v>
      </c>
      <c r="K713">
        <f>0.474587331*(0.3)</f>
        <v>0.14237619930000001</v>
      </c>
      <c r="L713">
        <f>0.23254779219*(0.3)</f>
        <v>6.9764337656999992E-2</v>
      </c>
      <c r="M713">
        <f>0.5220460641*(0.3)</f>
        <v>0.15661381923000003</v>
      </c>
      <c r="N713">
        <f>0.474587331*(0.3)</f>
        <v>0.14237619930000001</v>
      </c>
    </row>
    <row r="714" spans="1:14" x14ac:dyDescent="0.25">
      <c r="A714">
        <f>-0.172156414*(0.3)</f>
        <v>-5.16469242E-2</v>
      </c>
      <c r="B714">
        <f>0.0132428010769231*(0.3)</f>
        <v>3.9728403230769229E-3</v>
      </c>
      <c r="C714">
        <f>0.0397284032307692*(0.3)</f>
        <v>1.1918520969230769E-2</v>
      </c>
      <c r="D714">
        <f>0.0132428010769231*(0.3)</f>
        <v>3.9728403230769229E-3</v>
      </c>
      <c r="E714">
        <f>0.0132428010769231*(0.3)</f>
        <v>3.9728403230769229E-3</v>
      </c>
      <c r="F714">
        <f>0.0132428010769231*(0.3)</f>
        <v>3.9728403230769229E-3</v>
      </c>
      <c r="G714">
        <f>0.00794568064615385*(0.3)</f>
        <v>2.3837041938461535E-3</v>
      </c>
      <c r="H714">
        <f>0.0132428010769231*(0.3)</f>
        <v>3.9728403230769229E-3</v>
      </c>
      <c r="I714">
        <f>0.0132428010769231*(0.3)</f>
        <v>3.9728403230769229E-3</v>
      </c>
      <c r="J714">
        <f>-0.00264856021538461*(0.3)</f>
        <v>-7.9456806461538449E-4</v>
      </c>
      <c r="K714">
        <f>0.0132428010769231*(0.3)</f>
        <v>3.9728403230769229E-3</v>
      </c>
      <c r="L714">
        <f>0.00648897252769231*(0.3)</f>
        <v>1.9466917583076924E-3</v>
      </c>
      <c r="M714">
        <f>0.0145670811846154*(0.3)</f>
        <v>4.3701243553846154E-3</v>
      </c>
      <c r="N714">
        <f>0.0132428010769231*(0.3)</f>
        <v>3.9728403230769229E-3</v>
      </c>
    </row>
    <row r="715" spans="1:14" x14ac:dyDescent="0.25">
      <c r="A715">
        <f>-5.537393244*(0.3)</f>
        <v>-1.6612179732000001</v>
      </c>
      <c r="B715">
        <f>0.425953326461538*(0.3)</f>
        <v>0.12778599793846154</v>
      </c>
      <c r="C715">
        <f>1.27785997938462*(0.3)</f>
        <v>0.38335799381538466</v>
      </c>
      <c r="D715">
        <f>0.425953326461538*(0.3)</f>
        <v>0.12778599793846154</v>
      </c>
      <c r="E715">
        <f>0.425953326461538*(0.3)</f>
        <v>0.12778599793846154</v>
      </c>
      <c r="F715">
        <f>0.425953326461538*(0.3)</f>
        <v>0.12778599793846154</v>
      </c>
      <c r="G715">
        <f>0.255571995876923*(0.3)</f>
        <v>7.6671598763076929E-2</v>
      </c>
      <c r="H715">
        <f>0.425953326461538*(0.3)</f>
        <v>0.12778599793846154</v>
      </c>
      <c r="I715">
        <f>0.425953326461538*(0.3)</f>
        <v>0.12778599793846154</v>
      </c>
      <c r="J715">
        <f>-0.0851906652923077*(0.3)</f>
        <v>-2.5557199587692304E-2</v>
      </c>
      <c r="K715">
        <f>0.425953326461538*(0.3)</f>
        <v>0.12778599793846154</v>
      </c>
      <c r="L715">
        <f>0.208717129966154*(0.3)</f>
        <v>6.261513898984615E-2</v>
      </c>
      <c r="M715">
        <f>0.468548659107692*(0.3)</f>
        <v>0.1405645977323077</v>
      </c>
      <c r="N715">
        <f>0.425953326461538*(0.3)</f>
        <v>0.12778599793846154</v>
      </c>
    </row>
    <row r="716" spans="1:14" x14ac:dyDescent="0.25">
      <c r="A716">
        <f>1.334591852*(0.3)</f>
        <v>0.40037755559999999</v>
      </c>
      <c r="B716">
        <f>-0.102660911692308*(0.3)</f>
        <v>-3.0798273507692306E-2</v>
      </c>
      <c r="C716">
        <f>-0.307982735076923*(0.3)</f>
        <v>-9.2394820523076918E-2</v>
      </c>
      <c r="D716">
        <f>-0.102660911692308*(0.3)</f>
        <v>-3.0798273507692306E-2</v>
      </c>
      <c r="E716">
        <f>-0.102660911692308*(0.3)</f>
        <v>-3.0798273507692306E-2</v>
      </c>
      <c r="F716">
        <f>-0.102660911692308*(0.3)</f>
        <v>-3.0798273507692306E-2</v>
      </c>
      <c r="G716">
        <f>-0.0615965470153846*(0.3)</f>
        <v>-1.8478964104615383E-2</v>
      </c>
      <c r="H716">
        <f>-0.102660911692308*(0.3)</f>
        <v>-3.0798273507692306E-2</v>
      </c>
      <c r="I716">
        <f>-0.102660911692308*(0.3)</f>
        <v>-3.0798273507692306E-2</v>
      </c>
      <c r="J716">
        <f>0.0205321823384615*(0.3)</f>
        <v>6.1596547015384598E-3</v>
      </c>
      <c r="K716">
        <f>-0.102660911692308*(0.3)</f>
        <v>-3.0798273507692306E-2</v>
      </c>
      <c r="L716">
        <f>-0.0503038467292308*(0.3)</f>
        <v>-1.5091154018769228E-2</v>
      </c>
      <c r="M716">
        <f>-0.112927002861538*(0.3)</f>
        <v>-3.3878100858461539E-2</v>
      </c>
      <c r="N716">
        <f>-0.102660911692308*(0.3)</f>
        <v>-3.0798273507692306E-2</v>
      </c>
    </row>
    <row r="717" spans="1:14" x14ac:dyDescent="0.25">
      <c r="A717">
        <f>-5.289832734*(0.3)</f>
        <v>-1.5869498201999999</v>
      </c>
      <c r="B717">
        <f>0.406910210307692*(0.3)</f>
        <v>0.12207306309230768</v>
      </c>
      <c r="C717">
        <f>1.22073063092308*(0.3)</f>
        <v>0.3662191892769231</v>
      </c>
      <c r="D717">
        <f>0.406910210307692*(0.3)</f>
        <v>0.12207306309230768</v>
      </c>
      <c r="E717">
        <f>0.406910210307692*(0.3)</f>
        <v>0.12207306309230768</v>
      </c>
      <c r="F717">
        <f>0.406910210307692*(0.3)</f>
        <v>0.12207306309230768</v>
      </c>
      <c r="G717">
        <f>0.244146126184615*(0.3)</f>
        <v>7.3243837855384603E-2</v>
      </c>
      <c r="H717">
        <f>0.406910210307692*(0.3)</f>
        <v>0.12207306309230768</v>
      </c>
      <c r="I717">
        <f>0.406910210307692*(0.3)</f>
        <v>0.12207306309230768</v>
      </c>
      <c r="J717">
        <f>-0.0813820420615384*(0.3)</f>
        <v>-2.4414612618461531E-2</v>
      </c>
      <c r="K717">
        <f>0.406910210307692*(0.3)</f>
        <v>0.12207306309230768</v>
      </c>
      <c r="L717">
        <f>0.199386003050769*(0.3)</f>
        <v>5.9815800915230768E-2</v>
      </c>
      <c r="M717">
        <f>0.447601231338462*(0.3)</f>
        <v>0.13428036940153848</v>
      </c>
      <c r="N717">
        <f>0.406910210307692*(0.3)</f>
        <v>0.12207306309230768</v>
      </c>
    </row>
    <row r="718" spans="1:14" x14ac:dyDescent="0.25">
      <c r="A718">
        <f>-1.442827666*(0.3)</f>
        <v>-0.43284829979999995</v>
      </c>
      <c r="B718">
        <f>0.110986743538462*(0.3)</f>
        <v>3.3296023061538456E-2</v>
      </c>
      <c r="C718">
        <f>0.332960230615385*(0.3)</f>
        <v>9.9888069184615375E-2</v>
      </c>
      <c r="D718">
        <f>0.110986743538462*(0.3)</f>
        <v>3.3296023061538456E-2</v>
      </c>
      <c r="E718">
        <f>0.110986743538462*(0.3)</f>
        <v>3.3296023061538456E-2</v>
      </c>
      <c r="F718">
        <f>0.110986743538462*(0.3)</f>
        <v>3.3296023061538456E-2</v>
      </c>
      <c r="G718">
        <f>0.0665920461230769*(0.3)</f>
        <v>1.9977613836923074E-2</v>
      </c>
      <c r="H718">
        <f>0.110986743538462*(0.3)</f>
        <v>3.3296023061538456E-2</v>
      </c>
      <c r="I718">
        <f>0.110986743538462*(0.3)</f>
        <v>3.3296023061538456E-2</v>
      </c>
      <c r="J718">
        <f>-0.0221973487076923*(0.3)</f>
        <v>-6.65920461230769E-3</v>
      </c>
      <c r="K718">
        <f>0.110986743538462*(0.3)</f>
        <v>3.3296023061538456E-2</v>
      </c>
      <c r="L718">
        <f>0.0543835043338461*(0.3)</f>
        <v>1.6315051300153843E-2</v>
      </c>
      <c r="M718">
        <f>0.122085417892308*(0.3)</f>
        <v>3.6625625367692302E-2</v>
      </c>
      <c r="N718">
        <f>0.110986743538462*(0.3)</f>
        <v>3.3296023061538456E-2</v>
      </c>
    </row>
    <row r="719" spans="1:14" x14ac:dyDescent="0.25">
      <c r="A719">
        <f>-8.544258943*(0.3)</f>
        <v>-2.5632776829000004</v>
      </c>
      <c r="B719">
        <f>0.657250687923077*(0.3)</f>
        <v>0.19717520637692307</v>
      </c>
      <c r="C719">
        <f>1.97175206376923*(0.3)</f>
        <v>0.59152561913076918</v>
      </c>
      <c r="D719">
        <f>0.657250687923077*(0.3)</f>
        <v>0.19717520637692307</v>
      </c>
      <c r="E719">
        <f>0.657250687923077*(0.3)</f>
        <v>0.19717520637692307</v>
      </c>
      <c r="F719">
        <f>0.657250687923077*(0.3)</f>
        <v>0.19717520637692307</v>
      </c>
      <c r="G719">
        <f>0.394350412753846*(0.3)</f>
        <v>0.11830512382615384</v>
      </c>
      <c r="H719">
        <f>0.657250687923077*(0.3)</f>
        <v>0.19717520637692307</v>
      </c>
      <c r="I719">
        <f>0.657250687923077*(0.3)</f>
        <v>0.19717520637692307</v>
      </c>
      <c r="J719">
        <f>-0.131450137584615*(0.3)</f>
        <v>-3.9435041275384601E-2</v>
      </c>
      <c r="K719">
        <f>0.657250687923077*(0.3)</f>
        <v>0.19717520637692307</v>
      </c>
      <c r="L719">
        <f>0.322052837082308*(0.3)</f>
        <v>9.6615851124692301E-2</v>
      </c>
      <c r="M719">
        <f>0.722975756715385*(0.3)</f>
        <v>0.2168927270146154</v>
      </c>
      <c r="N719">
        <f>0.657250687923077*(0.3)</f>
        <v>0.19717520637692307</v>
      </c>
    </row>
    <row r="720" spans="1:14" x14ac:dyDescent="0.25">
      <c r="A720">
        <f>2.203319986*(0.3)</f>
        <v>0.6609959957999999</v>
      </c>
      <c r="B720">
        <f>-0.169486152769231*(0.3)</f>
        <v>-5.0845845830769225E-2</v>
      </c>
      <c r="C720">
        <f>-0.508458458307692*(0.3)</f>
        <v>-0.1525375374923077</v>
      </c>
      <c r="D720">
        <f>-0.169486152769231*(0.3)</f>
        <v>-5.0845845830769225E-2</v>
      </c>
      <c r="E720">
        <f>-0.169486152769231*(0.3)</f>
        <v>-5.0845845830769225E-2</v>
      </c>
      <c r="F720">
        <f>-0.169486152769231*(0.3)</f>
        <v>-5.0845845830769225E-2</v>
      </c>
      <c r="G720">
        <f>-0.101691691661538*(0.3)</f>
        <v>-3.0507507498461532E-2</v>
      </c>
      <c r="H720">
        <f>-0.169486152769231*(0.3)</f>
        <v>-5.0845845830769225E-2</v>
      </c>
      <c r="I720">
        <f>-0.169486152769231*(0.3)</f>
        <v>-5.0845845830769225E-2</v>
      </c>
      <c r="J720">
        <f>0.0338972305538461*(0.3)</f>
        <v>1.0169169166153843E-2</v>
      </c>
      <c r="K720">
        <f>-0.169486152769231*(0.3)</f>
        <v>-5.0845845830769225E-2</v>
      </c>
      <c r="L720">
        <f>-0.0830482148569231*(0.3)</f>
        <v>-2.4914464457076919E-2</v>
      </c>
      <c r="M720">
        <f>-0.186434768046154*(0.3)</f>
        <v>-5.5930430413846155E-2</v>
      </c>
      <c r="N720">
        <f>-0.169486152769231*(0.3)</f>
        <v>-5.0845845830769225E-2</v>
      </c>
    </row>
    <row r="721" spans="1:14" x14ac:dyDescent="0.25">
      <c r="A721">
        <f>-4.023628188*(0.3)</f>
        <v>-1.2070884564</v>
      </c>
      <c r="B721">
        <f>0.309509860615385*(0.3)</f>
        <v>9.2852958184615378E-2</v>
      </c>
      <c r="C721">
        <f>0.928529581846154*(0.3)</f>
        <v>0.27855887455384615</v>
      </c>
      <c r="D721">
        <f>0.309509860615385*(0.3)</f>
        <v>9.2852958184615378E-2</v>
      </c>
      <c r="E721">
        <f>0.309509860615385*(0.3)</f>
        <v>9.2852958184615378E-2</v>
      </c>
      <c r="F721">
        <f>0.309509860615385*(0.3)</f>
        <v>9.2852958184615378E-2</v>
      </c>
      <c r="G721">
        <f>0.185705916369231*(0.3)</f>
        <v>5.5711774910769223E-2</v>
      </c>
      <c r="H721">
        <f>0.309509860615385*(0.3)</f>
        <v>9.2852958184615378E-2</v>
      </c>
      <c r="I721">
        <f>0.309509860615385*(0.3)</f>
        <v>9.2852958184615378E-2</v>
      </c>
      <c r="J721">
        <f>-0.0619019721230769*(0.3)</f>
        <v>-1.8570591636923071E-2</v>
      </c>
      <c r="K721">
        <f>0.309509860615385*(0.3)</f>
        <v>9.2852958184615378E-2</v>
      </c>
      <c r="L721">
        <f>0.151659831701538*(0.3)</f>
        <v>4.5497949510461537E-2</v>
      </c>
      <c r="M721">
        <f>0.340460846676923*(0.3)</f>
        <v>0.10213825400307693</v>
      </c>
      <c r="N721">
        <f>0.309509860615385*(0.3)</f>
        <v>9.2852958184615378E-2</v>
      </c>
    </row>
    <row r="722" spans="1:14" x14ac:dyDescent="0.25">
      <c r="A722">
        <f>0.166308691*(0.3)</f>
        <v>4.9892607300000003E-2</v>
      </c>
      <c r="B722">
        <f>-0.0127929762307692*(0.3)</f>
        <v>-3.8378928692307693E-3</v>
      </c>
      <c r="C722">
        <f>-0.0383789286923077*(0.3)</f>
        <v>-1.1513678607692307E-2</v>
      </c>
      <c r="D722">
        <f>-0.0127929762307692*(0.3)</f>
        <v>-3.8378928692307693E-3</v>
      </c>
      <c r="E722">
        <f>-0.0127929762307692*(0.3)</f>
        <v>-3.8378928692307693E-3</v>
      </c>
      <c r="F722">
        <f>-0.0127929762307692*(0.3)</f>
        <v>-3.8378928692307693E-3</v>
      </c>
      <c r="G722">
        <f>-0.00767578573846154*(0.3)</f>
        <v>-2.3027357215384616E-3</v>
      </c>
      <c r="H722">
        <f>-0.0127929762307692*(0.3)</f>
        <v>-3.8378928692307693E-3</v>
      </c>
      <c r="I722">
        <f>-0.0127929762307692*(0.3)</f>
        <v>-3.8378928692307693E-3</v>
      </c>
      <c r="J722">
        <f>0.00255859524615385*(0.3)</f>
        <v>7.6757857384615364E-4</v>
      </c>
      <c r="K722">
        <f>-0.0127929762307692*(0.3)</f>
        <v>-3.8378928692307693E-3</v>
      </c>
      <c r="L722">
        <f>-0.00626855835307692*(0.3)</f>
        <v>-1.880567505923077E-3</v>
      </c>
      <c r="M722">
        <f>-0.0140722738538462*(0.3)</f>
        <v>-4.221682156153846E-3</v>
      </c>
      <c r="N722">
        <f>-0.0127929762307692*(0.3)</f>
        <v>-3.8378928692307693E-3</v>
      </c>
    </row>
    <row r="723" spans="1:14" x14ac:dyDescent="0.25">
      <c r="A723">
        <f>-3.659630088*(0.3)</f>
        <v>-1.0978890264000001</v>
      </c>
      <c r="B723">
        <f>0.281510006769231*(0.3)</f>
        <v>8.4453002030769234E-2</v>
      </c>
      <c r="C723">
        <f>0.844530020307692*(0.3)</f>
        <v>0.25335900609230766</v>
      </c>
      <c r="D723">
        <f>0.281510006769231*(0.3)</f>
        <v>8.4453002030769234E-2</v>
      </c>
      <c r="E723">
        <f>0.281510006769231*(0.3)</f>
        <v>8.4453002030769234E-2</v>
      </c>
      <c r="F723">
        <f>0.281510006769231*(0.3)</f>
        <v>8.4453002030769234E-2</v>
      </c>
      <c r="G723">
        <f>0.168906004061538*(0.3)</f>
        <v>5.0671801218461536E-2</v>
      </c>
      <c r="H723">
        <f>0.281510006769231*(0.3)</f>
        <v>8.4453002030769234E-2</v>
      </c>
      <c r="I723">
        <f>0.281510006769231*(0.3)</f>
        <v>8.4453002030769234E-2</v>
      </c>
      <c r="J723">
        <f>-0.0563020013538461*(0.3)</f>
        <v>-1.6890600406153842E-2</v>
      </c>
      <c r="K723">
        <f>0.281510006769231*(0.3)</f>
        <v>8.4453002030769234E-2</v>
      </c>
      <c r="L723">
        <f>0.137939903316923*(0.3)</f>
        <v>4.1381970995076921E-2</v>
      </c>
      <c r="M723">
        <f>0.309661007446154*(0.3)</f>
        <v>9.2898302233846167E-2</v>
      </c>
      <c r="N723">
        <f>0.281510006769231*(0.3)</f>
        <v>8.4453002030769234E-2</v>
      </c>
    </row>
    <row r="724" spans="1:14" x14ac:dyDescent="0.25">
      <c r="A724">
        <f>-1.392355086*(0.3)</f>
        <v>-0.41770652580000001</v>
      </c>
      <c r="B724">
        <f>0.107104237384615*(0.3)</f>
        <v>3.2131271215384616E-2</v>
      </c>
      <c r="C724">
        <f>0.321312712153846*(0.3)</f>
        <v>9.6393813646153848E-2</v>
      </c>
      <c r="D724">
        <f>0.107104237384615*(0.3)</f>
        <v>3.2131271215384616E-2</v>
      </c>
      <c r="E724">
        <f>0.107104237384615*(0.3)</f>
        <v>3.2131271215384616E-2</v>
      </c>
      <c r="F724">
        <f>0.107104237384615*(0.3)</f>
        <v>3.2131271215384616E-2</v>
      </c>
      <c r="G724">
        <f>0.0642625424307692*(0.3)</f>
        <v>1.9278762729230767E-2</v>
      </c>
      <c r="H724">
        <f>0.107104237384615*(0.3)</f>
        <v>3.2131271215384616E-2</v>
      </c>
      <c r="I724">
        <f>0.107104237384615*(0.3)</f>
        <v>3.2131271215384616E-2</v>
      </c>
      <c r="J724">
        <f>-0.0214208474769231*(0.3)</f>
        <v>-6.4262542430769216E-3</v>
      </c>
      <c r="K724">
        <f>0.107104237384615*(0.3)</f>
        <v>3.2131271215384616E-2</v>
      </c>
      <c r="L724">
        <f>0.0524810763184615*(0.3)</f>
        <v>1.5744322895538461E-2</v>
      </c>
      <c r="M724">
        <f>0.117814661123077*(0.3)</f>
        <v>3.5344398336923079E-2</v>
      </c>
      <c r="N724">
        <f>0.107104237384615*(0.3)</f>
        <v>3.2131271215384616E-2</v>
      </c>
    </row>
    <row r="725" spans="1:14" x14ac:dyDescent="0.25">
      <c r="A725">
        <f>-6.045001975*(0.3)</f>
        <v>-1.8135005924999998</v>
      </c>
      <c r="B725">
        <f>0.465000151923077*(0.3)</f>
        <v>0.13950004557692308</v>
      </c>
      <c r="C725">
        <f>1.39500045576923*(0.3)</f>
        <v>0.41850013673076925</v>
      </c>
      <c r="D725">
        <f>0.465000151923077*(0.3)</f>
        <v>0.13950004557692308</v>
      </c>
      <c r="E725">
        <f>0.465000151923077*(0.3)</f>
        <v>0.13950004557692308</v>
      </c>
      <c r="F725">
        <f>0.465000151923077*(0.3)</f>
        <v>0.13950004557692308</v>
      </c>
      <c r="G725">
        <f>0.279000091153846*(0.3)</f>
        <v>8.3700027346153852E-2</v>
      </c>
      <c r="H725">
        <f>0.465000151923077*(0.3)</f>
        <v>0.13950004557692308</v>
      </c>
      <c r="I725">
        <f>0.465000151923077*(0.3)</f>
        <v>0.13950004557692308</v>
      </c>
      <c r="J725">
        <f>-0.0930000303846154*(0.3)</f>
        <v>-2.7900009115384608E-2</v>
      </c>
      <c r="K725">
        <f>0.465000151923077*(0.3)</f>
        <v>0.13950004557692308</v>
      </c>
      <c r="L725">
        <f>0.227850074442308*(0.3)</f>
        <v>6.8355022332692306E-2</v>
      </c>
      <c r="M725">
        <f>0.511500167115385*(0.3)</f>
        <v>0.15345005013461541</v>
      </c>
      <c r="N725">
        <f>0.465000151923077*(0.3)</f>
        <v>0.13950004557692308</v>
      </c>
    </row>
    <row r="726" spans="1:14" x14ac:dyDescent="0.25">
      <c r="A726">
        <f>0.136406086*(0.3)</f>
        <v>4.0921825799999999E-2</v>
      </c>
      <c r="B726">
        <f>-0.0104927758461538*(0.3)</f>
        <v>-3.1478327538461541E-3</v>
      </c>
      <c r="C726">
        <f>-0.0314783275384615*(0.3)</f>
        <v>-9.4434982615384609E-3</v>
      </c>
      <c r="D726">
        <f>-0.0104927758461538*(0.3)</f>
        <v>-3.1478327538461541E-3</v>
      </c>
      <c r="E726">
        <f>-0.0104927758461538*(0.3)</f>
        <v>-3.1478327538461541E-3</v>
      </c>
      <c r="F726">
        <f>-0.0104927758461538*(0.3)</f>
        <v>-3.1478327538461541E-3</v>
      </c>
      <c r="G726">
        <f>-0.00629566550769231*(0.3)</f>
        <v>-1.8886996523076924E-3</v>
      </c>
      <c r="H726">
        <f>-0.0104927758461538*(0.3)</f>
        <v>-3.1478327538461541E-3</v>
      </c>
      <c r="I726">
        <f>-0.0104927758461538*(0.3)</f>
        <v>-3.1478327538461541E-3</v>
      </c>
      <c r="J726">
        <f>0.00209855516923077*(0.3)</f>
        <v>6.295665507692307E-4</v>
      </c>
      <c r="K726">
        <f>-0.0104927758461538*(0.3)</f>
        <v>-3.1478327538461541E-3</v>
      </c>
      <c r="L726">
        <f>-0.00514146016461539*(0.3)</f>
        <v>-1.5424380493846155E-3</v>
      </c>
      <c r="M726">
        <f>-0.0115420534307692*(0.3)</f>
        <v>-3.4626160292307697E-3</v>
      </c>
      <c r="N726">
        <f>-0.0104927758461538*(0.3)</f>
        <v>-3.1478327538461541E-3</v>
      </c>
    </row>
    <row r="727" spans="1:14" x14ac:dyDescent="0.25">
      <c r="A727">
        <f>-8.088834197*(0.3)</f>
        <v>-2.4266502591000001</v>
      </c>
      <c r="B727">
        <f>0.622218015153846*(0.3)</f>
        <v>0.18666540454615385</v>
      </c>
      <c r="C727">
        <f>1.86665404546154*(0.3)</f>
        <v>0.55999621363846153</v>
      </c>
      <c r="D727">
        <f>0.622218015153846*(0.3)</f>
        <v>0.18666540454615385</v>
      </c>
      <c r="E727">
        <f>0.622218015153846*(0.3)</f>
        <v>0.18666540454615385</v>
      </c>
      <c r="F727">
        <f>0.622218015153846*(0.3)</f>
        <v>0.18666540454615385</v>
      </c>
      <c r="G727">
        <f>0.373330809092308*(0.3)</f>
        <v>0.11199924272769231</v>
      </c>
      <c r="H727">
        <f>0.622218015153846*(0.3)</f>
        <v>0.18666540454615385</v>
      </c>
      <c r="I727">
        <f>0.622218015153846*(0.3)</f>
        <v>0.18666540454615385</v>
      </c>
      <c r="J727">
        <f>-0.124443603030769*(0.3)</f>
        <v>-3.7333080909230765E-2</v>
      </c>
      <c r="K727">
        <f>0.622218015153846*(0.3)</f>
        <v>0.18666540454615385</v>
      </c>
      <c r="L727">
        <f>0.304886827425385*(0.3)</f>
        <v>9.1466048227615393E-2</v>
      </c>
      <c r="M727">
        <f>0.684439816669231*(0.3)</f>
        <v>0.20533194500076926</v>
      </c>
      <c r="N727">
        <f>0.622218015153846*(0.3)</f>
        <v>0.18666540454615385</v>
      </c>
    </row>
    <row r="728" spans="1:14" x14ac:dyDescent="0.25">
      <c r="A728">
        <f>0.020138079*(0.3)</f>
        <v>6.0414236999999996E-3</v>
      </c>
      <c r="B728">
        <f>-0.001549083*(0.3)</f>
        <v>-4.6472489999999995E-4</v>
      </c>
      <c r="C728">
        <f>-0.004647249*(0.3)</f>
        <v>-1.3941747E-3</v>
      </c>
      <c r="D728">
        <f>-0.001549083*(0.3)</f>
        <v>-4.6472489999999995E-4</v>
      </c>
      <c r="E728">
        <f>-0.001549083*(0.3)</f>
        <v>-4.6472489999999995E-4</v>
      </c>
      <c r="F728">
        <f>-0.001549083*(0.3)</f>
        <v>-4.6472489999999995E-4</v>
      </c>
      <c r="G728">
        <f>-0.0009294498*(0.3)</f>
        <v>-2.7883493999999998E-4</v>
      </c>
      <c r="H728">
        <f>-0.001549083*(0.3)</f>
        <v>-4.6472489999999995E-4</v>
      </c>
      <c r="I728">
        <f>-0.001549083*(0.3)</f>
        <v>-4.6472489999999995E-4</v>
      </c>
      <c r="J728">
        <f>0.0003098166*(0.3)</f>
        <v>9.294497999999997E-5</v>
      </c>
      <c r="K728">
        <f>-0.001549083*(0.3)</f>
        <v>-4.6472489999999995E-4</v>
      </c>
      <c r="L728">
        <f>-0.00075905067*(0.3)</f>
        <v>-2.2771520099999998E-4</v>
      </c>
      <c r="M728">
        <f>-0.0017039913*(0.3)</f>
        <v>-5.1119738999999998E-4</v>
      </c>
      <c r="N728">
        <f>-0.001549083*(0.3)</f>
        <v>-4.6472489999999995E-4</v>
      </c>
    </row>
    <row r="729" spans="1:14" x14ac:dyDescent="0.25">
      <c r="A729">
        <f>-10.45650691*(0.3)</f>
        <v>-3.1369520729999998</v>
      </c>
      <c r="B729">
        <f>0.804346685384615*(0.3)</f>
        <v>0.24130400561538462</v>
      </c>
      <c r="C729">
        <f>2.41304005615385*(0.3)</f>
        <v>0.72391201684615381</v>
      </c>
      <c r="D729">
        <f>0.804346685384615*(0.3)</f>
        <v>0.24130400561538462</v>
      </c>
      <c r="E729">
        <f>0.804346685384615*(0.3)</f>
        <v>0.24130400561538462</v>
      </c>
      <c r="F729">
        <f>0.804346685384615*(0.3)</f>
        <v>0.24130400561538462</v>
      </c>
      <c r="G729">
        <f>0.482608011230769*(0.3)</f>
        <v>0.14478240336923076</v>
      </c>
      <c r="H729">
        <f>0.804346685384615*(0.3)</f>
        <v>0.24130400561538462</v>
      </c>
      <c r="I729">
        <f>0.804346685384615*(0.3)</f>
        <v>0.24130400561538462</v>
      </c>
      <c r="J729">
        <f>-0.160869337076923*(0.3)</f>
        <v>-4.8260801123076916E-2</v>
      </c>
      <c r="K729">
        <f>0.804346685384615*(0.3)</f>
        <v>0.24130400561538462</v>
      </c>
      <c r="L729">
        <f>0.394129875838462*(0.3)</f>
        <v>0.11823896275153846</v>
      </c>
      <c r="M729">
        <f>0.884781353923077*(0.3)</f>
        <v>0.2654344061769231</v>
      </c>
      <c r="N729">
        <f>0.804346685384615*(0.3)</f>
        <v>0.24130400561538462</v>
      </c>
    </row>
    <row r="730" spans="1:14" x14ac:dyDescent="0.25">
      <c r="A730">
        <f>0.478878845*(0.3)</f>
        <v>0.14366365349999999</v>
      </c>
      <c r="B730">
        <f>-0.0368368342307692*(0.3)</f>
        <v>-1.1051050269230768E-2</v>
      </c>
      <c r="C730">
        <f>-0.110510502692308*(0.3)</f>
        <v>-3.3153150807692308E-2</v>
      </c>
      <c r="D730">
        <f>-0.0368368342307692*(0.3)</f>
        <v>-1.1051050269230768E-2</v>
      </c>
      <c r="E730">
        <f>-0.0368368342307692*(0.3)</f>
        <v>-1.1051050269230768E-2</v>
      </c>
      <c r="F730">
        <f>-0.0368368342307692*(0.3)</f>
        <v>-1.1051050269230768E-2</v>
      </c>
      <c r="G730">
        <f>-0.0221021005384615*(0.3)</f>
        <v>-6.6306301615384608E-3</v>
      </c>
      <c r="H730">
        <f>-0.0368368342307692*(0.3)</f>
        <v>-1.1051050269230768E-2</v>
      </c>
      <c r="I730">
        <f>-0.0368368342307692*(0.3)</f>
        <v>-1.1051050269230768E-2</v>
      </c>
      <c r="J730">
        <f>0.00736736684615384*(0.3)</f>
        <v>2.210210053846153E-3</v>
      </c>
      <c r="K730">
        <f>-0.0368368342307692*(0.3)</f>
        <v>-1.1051050269230768E-2</v>
      </c>
      <c r="L730">
        <f>-0.0180500487730769*(0.3)</f>
        <v>-5.4150146319230765E-3</v>
      </c>
      <c r="M730">
        <f>-0.0405205176538462*(0.3)</f>
        <v>-1.2156155296153846E-2</v>
      </c>
      <c r="N730">
        <f>-0.0368368342307692*(0.3)</f>
        <v>-1.1051050269230768E-2</v>
      </c>
    </row>
    <row r="731" spans="1:14" x14ac:dyDescent="0.25">
      <c r="A731">
        <f>-10.18979877*(0.3)</f>
        <v>-3.0569396309999997</v>
      </c>
      <c r="B731">
        <f>0.783830674615385*(0.3)</f>
        <v>0.23514920238461537</v>
      </c>
      <c r="C731">
        <f>2.35149202384615*(0.3)</f>
        <v>0.70544760715384613</v>
      </c>
      <c r="D731">
        <f>0.783830674615385*(0.3)</f>
        <v>0.23514920238461537</v>
      </c>
      <c r="E731">
        <f>0.783830674615385*(0.3)</f>
        <v>0.23514920238461537</v>
      </c>
      <c r="F731">
        <f>0.783830674615385*(0.3)</f>
        <v>0.23514920238461537</v>
      </c>
      <c r="G731">
        <f>0.470298404769231*(0.3)</f>
        <v>0.14108952143076922</v>
      </c>
      <c r="H731">
        <f>0.783830674615385*(0.3)</f>
        <v>0.23514920238461537</v>
      </c>
      <c r="I731">
        <f>0.783830674615385*(0.3)</f>
        <v>0.23514920238461537</v>
      </c>
      <c r="J731">
        <f>-0.156766134923077*(0.3)</f>
        <v>-4.7029840476923067E-2</v>
      </c>
      <c r="K731">
        <f>0.783830674615385*(0.3)</f>
        <v>0.23514920238461537</v>
      </c>
      <c r="L731">
        <f>0.384077030561538*(0.3)</f>
        <v>0.11522310916846151</v>
      </c>
      <c r="M731">
        <f>0.862213742076923*(0.3)</f>
        <v>0.25866412262307692</v>
      </c>
      <c r="N731">
        <f>0.783830674615385*(0.3)</f>
        <v>0.23514920238461537</v>
      </c>
    </row>
    <row r="732" spans="1:14" x14ac:dyDescent="0.25">
      <c r="A732">
        <f>1.016734064*(0.3)</f>
        <v>0.3050202192</v>
      </c>
      <c r="B732">
        <f>-0.0782103126153846*(0.3)</f>
        <v>-2.346309378461538E-2</v>
      </c>
      <c r="C732">
        <f>-0.234630937846154*(0.3)</f>
        <v>-7.0389281353846145E-2</v>
      </c>
      <c r="D732">
        <f>-0.0782103126153846*(0.3)</f>
        <v>-2.346309378461538E-2</v>
      </c>
      <c r="E732">
        <f>-0.0782103126153846*(0.3)</f>
        <v>-2.346309378461538E-2</v>
      </c>
      <c r="F732">
        <f>-0.0782103126153846*(0.3)</f>
        <v>-2.346309378461538E-2</v>
      </c>
      <c r="G732">
        <f>-0.0469261875692308*(0.3)</f>
        <v>-1.4077856270769228E-2</v>
      </c>
      <c r="H732">
        <f>-0.0782103126153846*(0.3)</f>
        <v>-2.346309378461538E-2</v>
      </c>
      <c r="I732">
        <f>-0.0782103126153846*(0.3)</f>
        <v>-2.346309378461538E-2</v>
      </c>
      <c r="J732">
        <f>0.0156420625230769*(0.3)</f>
        <v>4.6926187569230745E-3</v>
      </c>
      <c r="K732">
        <f>-0.0782103126153846*(0.3)</f>
        <v>-2.346309378461538E-2</v>
      </c>
      <c r="L732">
        <f>-0.0383230531815385*(0.3)</f>
        <v>-1.1496915954461537E-2</v>
      </c>
      <c r="M732">
        <f>-0.0860313438769231*(0.3)</f>
        <v>-2.5809403163076922E-2</v>
      </c>
      <c r="N732">
        <f>-0.0782103126153846*(0.3)</f>
        <v>-2.346309378461538E-2</v>
      </c>
    </row>
    <row r="733" spans="1:14" x14ac:dyDescent="0.25">
      <c r="A733">
        <f>-9.632505463*(0.3)</f>
        <v>-2.8897516388999995</v>
      </c>
      <c r="B733">
        <f>0.740961958692308*(0.3)</f>
        <v>0.2222885876076923</v>
      </c>
      <c r="C733">
        <f>2.22288587607692*(0.3)</f>
        <v>0.66686576282307686</v>
      </c>
      <c r="D733">
        <f>0.740961958692308*(0.3)</f>
        <v>0.2222885876076923</v>
      </c>
      <c r="E733">
        <f>0.740961958692308*(0.3)</f>
        <v>0.2222885876076923</v>
      </c>
      <c r="F733">
        <f>0.740961958692308*(0.3)</f>
        <v>0.2222885876076923</v>
      </c>
      <c r="G733">
        <f>0.444577175215385*(0.3)</f>
        <v>0.13337315256461538</v>
      </c>
      <c r="H733">
        <f>0.740961958692308*(0.3)</f>
        <v>0.2222885876076923</v>
      </c>
      <c r="I733">
        <f>0.740961958692308*(0.3)</f>
        <v>0.2222885876076923</v>
      </c>
      <c r="J733">
        <f>-0.148192391738461*(0.3)</f>
        <v>-4.4457717521538445E-2</v>
      </c>
      <c r="K733">
        <f>0.740961958692308*(0.3)</f>
        <v>0.2222885876076923</v>
      </c>
      <c r="L733">
        <f>0.363071359759231*(0.3)</f>
        <v>0.10892140792776921</v>
      </c>
      <c r="M733">
        <f>0.815058154561538*(0.3)</f>
        <v>0.24451744636846151</v>
      </c>
      <c r="N733">
        <f>0.740961958692308*(0.3)</f>
        <v>0.2222885876076923</v>
      </c>
    </row>
    <row r="734" spans="1:14" x14ac:dyDescent="0.25">
      <c r="A734">
        <f>2.990427249*(0.3)</f>
        <v>0.89712817470000006</v>
      </c>
      <c r="B734">
        <f>-0.230032865307692*(0.3)</f>
        <v>-6.9009859592307696E-2</v>
      </c>
      <c r="C734">
        <f>-0.690098595923077*(0.3)</f>
        <v>-0.2070295787769231</v>
      </c>
      <c r="D734">
        <f>-0.230032865307692*(0.3)</f>
        <v>-6.9009859592307696E-2</v>
      </c>
      <c r="E734">
        <f>-0.230032865307692*(0.3)</f>
        <v>-6.9009859592307696E-2</v>
      </c>
      <c r="F734">
        <f>-0.230032865307692*(0.3)</f>
        <v>-6.9009859592307696E-2</v>
      </c>
      <c r="G734">
        <f>-0.138019719184615*(0.3)</f>
        <v>-4.1405915755384617E-2</v>
      </c>
      <c r="H734">
        <f>-0.230032865307692*(0.3)</f>
        <v>-6.9009859592307696E-2</v>
      </c>
      <c r="I734">
        <f>-0.230032865307692*(0.3)</f>
        <v>-6.9009859592307696E-2</v>
      </c>
      <c r="J734">
        <f>0.0460065730615385*(0.3)</f>
        <v>1.3801971918461537E-2</v>
      </c>
      <c r="K734">
        <f>-0.230032865307692*(0.3)</f>
        <v>-6.9009859592307696E-2</v>
      </c>
      <c r="L734">
        <f>-0.112716104000769*(0.3)</f>
        <v>-3.3814831200230766E-2</v>
      </c>
      <c r="M734">
        <f>-0.253036151838462*(0.3)</f>
        <v>-7.5910845551538472E-2</v>
      </c>
      <c r="N734">
        <f>-0.230032865307692*(0.3)</f>
        <v>-6.9009859592307696E-2</v>
      </c>
    </row>
    <row r="735" spans="1:14" x14ac:dyDescent="0.25">
      <c r="A735">
        <f>-14.94467323*(0.3)</f>
        <v>-4.483401969</v>
      </c>
      <c r="B735">
        <f>1.14959024846154*(0.3)</f>
        <v>0.3448770745384615</v>
      </c>
      <c r="C735">
        <f>3.44877074538462*(0.3)</f>
        <v>1.0346312236153845</v>
      </c>
      <c r="D735">
        <f>1.14959024846154*(0.3)</f>
        <v>0.3448770745384615</v>
      </c>
      <c r="E735">
        <f>1.14959024846154*(0.3)</f>
        <v>0.3448770745384615</v>
      </c>
      <c r="F735">
        <f>1.14959024846154*(0.3)</f>
        <v>0.3448770745384615</v>
      </c>
      <c r="G735">
        <f>0.689754149076923*(0.3)</f>
        <v>0.20692624472307689</v>
      </c>
      <c r="H735">
        <f>1.14959024846154*(0.3)</f>
        <v>0.3448770745384615</v>
      </c>
      <c r="I735">
        <f>1.14959024846154*(0.3)</f>
        <v>0.3448770745384615</v>
      </c>
      <c r="J735">
        <f>-0.229918049692308*(0.3)</f>
        <v>-6.8975414907692281E-2</v>
      </c>
      <c r="K735">
        <f>1.14959024846154*(0.3)</f>
        <v>0.3448770745384615</v>
      </c>
      <c r="L735">
        <f>0.563299221746154*(0.3)</f>
        <v>0.16898976652384612</v>
      </c>
      <c r="M735">
        <f>1.26454927330769*(0.3)</f>
        <v>0.37936478199230766</v>
      </c>
      <c r="N735">
        <f>1.14959024846154*(0.3)</f>
        <v>0.3448770745384615</v>
      </c>
    </row>
    <row r="736" spans="1:14" x14ac:dyDescent="0.25">
      <c r="A736">
        <f>0.753831266*(0.3)</f>
        <v>0.22614937979999999</v>
      </c>
      <c r="B736">
        <f>-0.0579870204615385*(0.3)</f>
        <v>-1.7396106138461539E-2</v>
      </c>
      <c r="C736">
        <f>-0.173961061384615*(0.3)</f>
        <v>-5.218831841538462E-2</v>
      </c>
      <c r="D736">
        <f>-0.0579870204615385*(0.3)</f>
        <v>-1.7396106138461539E-2</v>
      </c>
      <c r="E736">
        <f>-0.0579870204615385*(0.3)</f>
        <v>-1.7396106138461539E-2</v>
      </c>
      <c r="F736">
        <f>-0.0579870204615385*(0.3)</f>
        <v>-1.7396106138461539E-2</v>
      </c>
      <c r="G736">
        <f>-0.0347922122769231*(0.3)</f>
        <v>-1.0437663683076923E-2</v>
      </c>
      <c r="H736">
        <f>-0.0579870204615385*(0.3)</f>
        <v>-1.7396106138461539E-2</v>
      </c>
      <c r="I736">
        <f>-0.0579870204615385*(0.3)</f>
        <v>-1.7396106138461539E-2</v>
      </c>
      <c r="J736">
        <f>0.0115974040923077*(0.3)</f>
        <v>3.4792212276923075E-3</v>
      </c>
      <c r="K736">
        <f>-0.0579870204615385*(0.3)</f>
        <v>-1.7396106138461539E-2</v>
      </c>
      <c r="L736">
        <f>-0.0284136400261538*(0.3)</f>
        <v>-8.524092007846153E-3</v>
      </c>
      <c r="M736">
        <f>-0.0637857225076923*(0.3)</f>
        <v>-1.9135716752307696E-2</v>
      </c>
      <c r="N736">
        <f>-0.0579870204615385*(0.3)</f>
        <v>-1.7396106138461539E-2</v>
      </c>
    </row>
    <row r="737" spans="1:14" x14ac:dyDescent="0.25">
      <c r="A737">
        <f>-9.313597558*(0.3)</f>
        <v>-2.7940792673999999</v>
      </c>
      <c r="B737">
        <f>0.716430581384615*(0.3)</f>
        <v>0.21492917441538459</v>
      </c>
      <c r="C737">
        <f>2.14929174415385*(0.3)</f>
        <v>0.64478752324615374</v>
      </c>
      <c r="D737">
        <f>0.716430581384615*(0.3)</f>
        <v>0.21492917441538459</v>
      </c>
      <c r="E737">
        <f>0.716430581384615*(0.3)</f>
        <v>0.21492917441538459</v>
      </c>
      <c r="F737">
        <f>0.716430581384615*(0.3)</f>
        <v>0.21492917441538459</v>
      </c>
      <c r="G737">
        <f>0.429858348830769*(0.3)</f>
        <v>0.12895750464923075</v>
      </c>
      <c r="H737">
        <f>0.716430581384615*(0.3)</f>
        <v>0.21492917441538459</v>
      </c>
      <c r="I737">
        <f>0.716430581384615*(0.3)</f>
        <v>0.21492917441538459</v>
      </c>
      <c r="J737">
        <f>-0.143286116276923*(0.3)</f>
        <v>-4.2985834883076911E-2</v>
      </c>
      <c r="K737">
        <f>0.716430581384615*(0.3)</f>
        <v>0.21492917441538459</v>
      </c>
      <c r="L737">
        <f>0.351050984878462*(0.3)</f>
        <v>0.10531529546353846</v>
      </c>
      <c r="M737">
        <f>0.788073639523077*(0.3)</f>
        <v>0.23642209185692309</v>
      </c>
      <c r="N737">
        <f>0.716430581384615*(0.3)</f>
        <v>0.21492917441538459</v>
      </c>
    </row>
    <row r="738" spans="1:14" x14ac:dyDescent="0.25">
      <c r="A738">
        <f>0.784340714*(0.3)</f>
        <v>0.2353022142</v>
      </c>
      <c r="B738">
        <f>-0.0603339010769231*(0.3)</f>
        <v>-1.8100170323076925E-2</v>
      </c>
      <c r="C738">
        <f>-0.181001703230769*(0.3)</f>
        <v>-5.4300510969230775E-2</v>
      </c>
      <c r="D738">
        <f>-0.0603339010769231*(0.3)</f>
        <v>-1.8100170323076925E-2</v>
      </c>
      <c r="E738">
        <f>-0.0603339010769231*(0.3)</f>
        <v>-1.8100170323076925E-2</v>
      </c>
      <c r="F738">
        <f>-0.0603339010769231*(0.3)</f>
        <v>-1.8100170323076925E-2</v>
      </c>
      <c r="G738">
        <f>-0.0362003406461539*(0.3)</f>
        <v>-1.0860102193846154E-2</v>
      </c>
      <c r="H738">
        <f>-0.0603339010769231*(0.3)</f>
        <v>-1.8100170323076925E-2</v>
      </c>
      <c r="I738">
        <f>-0.0603339010769231*(0.3)</f>
        <v>-1.8100170323076925E-2</v>
      </c>
      <c r="J738">
        <f>0.0120667802153846*(0.3)</f>
        <v>3.6200340646153841E-3</v>
      </c>
      <c r="K738">
        <f>-0.0603339010769231*(0.3)</f>
        <v>-1.8100170323076925E-2</v>
      </c>
      <c r="L738">
        <f>-0.0295636115276923*(0.3)</f>
        <v>-8.869083458307692E-3</v>
      </c>
      <c r="M738">
        <f>-0.0663672911846154*(0.3)</f>
        <v>-1.991018735538462E-2</v>
      </c>
      <c r="N738">
        <f>-0.0603339010769231*(0.3)</f>
        <v>-1.8100170323076925E-2</v>
      </c>
    </row>
    <row r="739" spans="1:14" x14ac:dyDescent="0.25">
      <c r="A739">
        <f>-14.01317447*(0.3)</f>
        <v>-4.2039523409999999</v>
      </c>
      <c r="B739">
        <f>1.07793649769231*(0.3)</f>
        <v>0.32338094930769229</v>
      </c>
      <c r="C739">
        <f>3.23380949307692*(0.3)</f>
        <v>0.97014284792307681</v>
      </c>
      <c r="D739">
        <f>1.07793649769231*(0.3)</f>
        <v>0.32338094930769229</v>
      </c>
      <c r="E739">
        <f>1.07793649769231*(0.3)</f>
        <v>0.32338094930769229</v>
      </c>
      <c r="F739">
        <f>1.07793649769231*(0.3)</f>
        <v>0.32338094930769229</v>
      </c>
      <c r="G739">
        <f>0.646761898615385*(0.3)</f>
        <v>0.19402856958461537</v>
      </c>
      <c r="H739">
        <f>1.07793649769231*(0.3)</f>
        <v>0.32338094930769229</v>
      </c>
      <c r="I739">
        <f>1.07793649769231*(0.3)</f>
        <v>0.32338094930769229</v>
      </c>
      <c r="J739">
        <f>-0.215587299538461*(0.3)</f>
        <v>-6.4676189861538447E-2</v>
      </c>
      <c r="K739">
        <f>1.07793649769231*(0.3)</f>
        <v>0.32338094930769229</v>
      </c>
      <c r="L739">
        <f>0.528188883869231*(0.3)</f>
        <v>0.1584566651607692</v>
      </c>
      <c r="M739">
        <f>1.18573014746154*(0.3)</f>
        <v>0.35571904423846151</v>
      </c>
      <c r="N739">
        <f>1.07793649769231*(0.3)</f>
        <v>0.32338094930769229</v>
      </c>
    </row>
    <row r="740" spans="1:14" x14ac:dyDescent="0.25">
      <c r="A740">
        <f>-0.553371327*(0.3)</f>
        <v>-0.16601139810000001</v>
      </c>
      <c r="B740">
        <f>0.0425670251538462*(0.3)</f>
        <v>1.2770107546153845E-2</v>
      </c>
      <c r="C740">
        <f>0.127701075461538*(0.3)</f>
        <v>3.8310322638461541E-2</v>
      </c>
      <c r="D740">
        <f>0.0425670251538462*(0.3)</f>
        <v>1.2770107546153845E-2</v>
      </c>
      <c r="E740">
        <f>0.0425670251538462*(0.3)</f>
        <v>1.2770107546153845E-2</v>
      </c>
      <c r="F740">
        <f>0.0425670251538462*(0.3)</f>
        <v>1.2770107546153845E-2</v>
      </c>
      <c r="G740">
        <f>0.0255402150923077*(0.3)</f>
        <v>7.6620645276923071E-3</v>
      </c>
      <c r="H740">
        <f>0.0425670251538462*(0.3)</f>
        <v>1.2770107546153845E-2</v>
      </c>
      <c r="I740">
        <f>0.0425670251538462*(0.3)</f>
        <v>1.2770107546153845E-2</v>
      </c>
      <c r="J740">
        <f>-0.00851340503076923*(0.3)</f>
        <v>-2.5540215092307687E-3</v>
      </c>
      <c r="K740">
        <f>0.0425670251538462*(0.3)</f>
        <v>1.2770107546153845E-2</v>
      </c>
      <c r="L740">
        <f>0.0208578423253846*(0.3)</f>
        <v>6.2573526976153837E-3</v>
      </c>
      <c r="M740">
        <f>0.0468237276692308*(0.3)</f>
        <v>1.4047118300769231E-2</v>
      </c>
      <c r="N740">
        <f>0.0425670251538462*(0.3)</f>
        <v>1.2770107546153845E-2</v>
      </c>
    </row>
    <row r="741" spans="1:14" x14ac:dyDescent="0.25">
      <c r="A741">
        <f>-12.06798706*(0.3)</f>
        <v>-3.6203961179999999</v>
      </c>
      <c r="B741">
        <f>0.928306696923077*(0.3)</f>
        <v>0.27849200907692306</v>
      </c>
      <c r="C741">
        <f>2.78492009076923*(0.3)</f>
        <v>0.83547602723076919</v>
      </c>
      <c r="D741">
        <f>0.928306696923077*(0.3)</f>
        <v>0.27849200907692306</v>
      </c>
      <c r="E741">
        <f>0.928306696923077*(0.3)</f>
        <v>0.27849200907692306</v>
      </c>
      <c r="F741">
        <f>0.928306696923077*(0.3)</f>
        <v>0.27849200907692306</v>
      </c>
      <c r="G741">
        <f>0.556984018153846*(0.3)</f>
        <v>0.16709520544615383</v>
      </c>
      <c r="H741">
        <f>0.928306696923077*(0.3)</f>
        <v>0.27849200907692306</v>
      </c>
      <c r="I741">
        <f>0.928306696923077*(0.3)</f>
        <v>0.27849200907692306</v>
      </c>
      <c r="J741">
        <f>-0.185661339384615*(0.3)</f>
        <v>-5.5698401815384602E-2</v>
      </c>
      <c r="K741">
        <f>0.928306696923077*(0.3)</f>
        <v>0.27849200907692306</v>
      </c>
      <c r="L741">
        <f>0.454870281492308*(0.3)</f>
        <v>0.13646108444769231</v>
      </c>
      <c r="M741">
        <f>1.02113736661538*(0.3)</f>
        <v>0.30634120998461539</v>
      </c>
      <c r="N741">
        <f>0.928306696923077*(0.3)</f>
        <v>0.27849200907692306</v>
      </c>
    </row>
    <row r="742" spans="1:14" x14ac:dyDescent="0.25">
      <c r="A742">
        <f>2.276317466*(0.3)</f>
        <v>0.6828952398</v>
      </c>
      <c r="B742">
        <f>-0.175101343538462*(0.3)</f>
        <v>-5.2530403061538465E-2</v>
      </c>
      <c r="C742">
        <f>-0.525304030615385*(0.3)</f>
        <v>-0.15759120918461539</v>
      </c>
      <c r="D742">
        <f>-0.175101343538462*(0.3)</f>
        <v>-5.2530403061538465E-2</v>
      </c>
      <c r="E742">
        <f>-0.175101343538462*(0.3)</f>
        <v>-5.2530403061538465E-2</v>
      </c>
      <c r="F742">
        <f>-0.175101343538462*(0.3)</f>
        <v>-5.2530403061538465E-2</v>
      </c>
      <c r="G742">
        <f>-0.105060806123077*(0.3)</f>
        <v>-3.1518241836923075E-2</v>
      </c>
      <c r="H742">
        <f>-0.175101343538462*(0.3)</f>
        <v>-5.2530403061538465E-2</v>
      </c>
      <c r="I742">
        <f>-0.175101343538462*(0.3)</f>
        <v>-5.2530403061538465E-2</v>
      </c>
      <c r="J742">
        <f>0.0350202687076923*(0.3)</f>
        <v>1.050608061230769E-2</v>
      </c>
      <c r="K742">
        <f>-0.175101343538462*(0.3)</f>
        <v>-5.2530403061538465E-2</v>
      </c>
      <c r="L742">
        <f>-0.0857996583338462*(0.3)</f>
        <v>-2.5739897500153847E-2</v>
      </c>
      <c r="M742">
        <f>-0.192611477892308*(0.3)</f>
        <v>-5.7783443367692311E-2</v>
      </c>
      <c r="N742">
        <f>-0.175101343538462*(0.3)</f>
        <v>-5.2530403061538465E-2</v>
      </c>
    </row>
    <row r="743" spans="1:14" x14ac:dyDescent="0.25">
      <c r="A743">
        <f>-17.66333213*(0.3)</f>
        <v>-5.2989996389999998</v>
      </c>
      <c r="B743">
        <f>1.35871785615385*(0.3)</f>
        <v>0.40761535684615385</v>
      </c>
      <c r="C743">
        <f>4.07615356846154*(0.3)</f>
        <v>1.2228460705384616</v>
      </c>
      <c r="D743">
        <f>1.35871785615385*(0.3)</f>
        <v>0.40761535684615385</v>
      </c>
      <c r="E743">
        <f>1.35871785615385*(0.3)</f>
        <v>0.40761535684615385</v>
      </c>
      <c r="F743">
        <f>1.35871785615385*(0.3)</f>
        <v>0.40761535684615385</v>
      </c>
      <c r="G743">
        <f>0.815230713692308*(0.3)</f>
        <v>0.24456921410769231</v>
      </c>
      <c r="H743">
        <f>1.35871785615385*(0.3)</f>
        <v>0.40761535684615385</v>
      </c>
      <c r="I743">
        <f>1.35871785615385*(0.3)</f>
        <v>0.40761535684615385</v>
      </c>
      <c r="J743">
        <f>-0.271743571230769*(0.3)</f>
        <v>-8.152307136923076E-2</v>
      </c>
      <c r="K743">
        <f>1.35871785615385*(0.3)</f>
        <v>0.40761535684615385</v>
      </c>
      <c r="L743">
        <f>0.665771749515385*(0.3)</f>
        <v>0.1997315248546154</v>
      </c>
      <c r="M743">
        <f>1.49458964176923*(0.3)</f>
        <v>0.44837689253076929</v>
      </c>
      <c r="N743">
        <f>1.35871785615385*(0.3)</f>
        <v>0.40761535684615385</v>
      </c>
    </row>
    <row r="744" spans="1:14" x14ac:dyDescent="0.25">
      <c r="A744">
        <f>0.235860193*(0.3)</f>
        <v>7.075805789999999E-2</v>
      </c>
      <c r="B744">
        <f>-0.0181430917692308*(0.3)</f>
        <v>-5.4429275307692308E-3</v>
      </c>
      <c r="C744">
        <f>-0.0544292753076923*(0.3)</f>
        <v>-1.6328782592307692E-2</v>
      </c>
      <c r="D744">
        <f>-0.0181430917692308*(0.3)</f>
        <v>-5.4429275307692308E-3</v>
      </c>
      <c r="E744">
        <f>-0.0181430917692308*(0.3)</f>
        <v>-5.4429275307692308E-3</v>
      </c>
      <c r="F744">
        <f>-0.0181430917692308*(0.3)</f>
        <v>-5.4429275307692308E-3</v>
      </c>
      <c r="G744">
        <f>-0.0108858550615385*(0.3)</f>
        <v>-3.2657565184615383E-3</v>
      </c>
      <c r="H744">
        <f>-0.0181430917692308*(0.3)</f>
        <v>-5.4429275307692308E-3</v>
      </c>
      <c r="I744">
        <f>-0.0181430917692308*(0.3)</f>
        <v>-5.4429275307692308E-3</v>
      </c>
      <c r="J744">
        <f>0.00362861835384615*(0.3)</f>
        <v>1.0885855061538458E-3</v>
      </c>
      <c r="K744">
        <f>-0.0181430917692308*(0.3)</f>
        <v>-5.4429275307692308E-3</v>
      </c>
      <c r="L744">
        <f>-0.00889011496692308*(0.3)</f>
        <v>-2.667034490076923E-3</v>
      </c>
      <c r="M744">
        <f>-0.0199574009461538*(0.3)</f>
        <v>-5.9872202838461537E-3</v>
      </c>
      <c r="N744">
        <f>-0.0181430917692308*(0.3)</f>
        <v>-5.4429275307692308E-3</v>
      </c>
    </row>
    <row r="745" spans="1:14" x14ac:dyDescent="0.25">
      <c r="A745">
        <f>-22.34679083*(0.3)</f>
        <v>-6.7040372489999998</v>
      </c>
      <c r="B745">
        <f>1.71898391*(0.3)</f>
        <v>0.51569517300000001</v>
      </c>
      <c r="C745">
        <f>5.15695173*(0.3)</f>
        <v>1.5470855189999997</v>
      </c>
      <c r="D745">
        <f>1.71898391*(0.3)</f>
        <v>0.51569517300000001</v>
      </c>
      <c r="E745">
        <f>1.71898391*(0.3)</f>
        <v>0.51569517300000001</v>
      </c>
      <c r="F745">
        <f>1.71898391*(0.3)</f>
        <v>0.51569517300000001</v>
      </c>
      <c r="G745">
        <f>1.031390346*(0.3)</f>
        <v>0.30941710379999998</v>
      </c>
      <c r="H745">
        <f>1.71898391*(0.3)</f>
        <v>0.51569517300000001</v>
      </c>
      <c r="I745">
        <f>1.71898391*(0.3)</f>
        <v>0.51569517300000001</v>
      </c>
      <c r="J745">
        <f>-0.343796782*(0.3)</f>
        <v>-0.10313903459999997</v>
      </c>
      <c r="K745">
        <f>1.71898391*(0.3)</f>
        <v>0.51569517300000001</v>
      </c>
      <c r="L745">
        <f>0.8423021159*(0.3)</f>
        <v>0.25269063476999998</v>
      </c>
      <c r="M745">
        <f>1.890882301*(0.3)</f>
        <v>0.56726469029999993</v>
      </c>
      <c r="N745">
        <f>1.71898391*(0.3)</f>
        <v>0.51569517300000001</v>
      </c>
    </row>
    <row r="746" spans="1:14" x14ac:dyDescent="0.25">
      <c r="A746">
        <f>1.107625201*(0.3)</f>
        <v>0.33228756030000001</v>
      </c>
      <c r="B746">
        <f>-0.0852019385384615*(0.3)</f>
        <v>-2.5560581561538464E-2</v>
      </c>
      <c r="C746">
        <f>-0.255605815615385*(0.3)</f>
        <v>-7.6681744684615388E-2</v>
      </c>
      <c r="D746">
        <f>-0.0852019385384615*(0.3)</f>
        <v>-2.5560581561538464E-2</v>
      </c>
      <c r="E746">
        <f>-0.0852019385384615*(0.3)</f>
        <v>-2.5560581561538464E-2</v>
      </c>
      <c r="F746">
        <f>-0.0852019385384615*(0.3)</f>
        <v>-2.5560581561538464E-2</v>
      </c>
      <c r="G746">
        <f>-0.0511211631230769*(0.3)</f>
        <v>-1.5336348936923077E-2</v>
      </c>
      <c r="H746">
        <f>-0.0852019385384615*(0.3)</f>
        <v>-2.5560581561538464E-2</v>
      </c>
      <c r="I746">
        <f>-0.0852019385384615*(0.3)</f>
        <v>-2.5560581561538464E-2</v>
      </c>
      <c r="J746">
        <f>0.0170403877076923*(0.3)</f>
        <v>5.1121163123076909E-3</v>
      </c>
      <c r="K746">
        <f>-0.0852019385384615*(0.3)</f>
        <v>-2.5560581561538464E-2</v>
      </c>
      <c r="L746">
        <f>-0.0417489498838462*(0.3)</f>
        <v>-1.2524684965153847E-2</v>
      </c>
      <c r="M746">
        <f>-0.0937221323923077*(0.3)</f>
        <v>-2.8116639717692307E-2</v>
      </c>
      <c r="N746">
        <f>-0.0852019385384615*(0.3)</f>
        <v>-2.5560581561538464E-2</v>
      </c>
    </row>
    <row r="747" spans="1:14" x14ac:dyDescent="0.25">
      <c r="A747">
        <f>-25.53500991*(0.3)</f>
        <v>-7.6605029729999998</v>
      </c>
      <c r="B747">
        <f>1.96423153153846*(0.3)</f>
        <v>0.58926945946153841</v>
      </c>
      <c r="C747">
        <f>5.89269459461539*(0.3)</f>
        <v>1.7678083783846155</v>
      </c>
      <c r="D747">
        <f>1.96423153153846*(0.3)</f>
        <v>0.58926945946153841</v>
      </c>
      <c r="E747">
        <f>1.96423153153846*(0.3)</f>
        <v>0.58926945946153841</v>
      </c>
      <c r="F747">
        <f>1.96423153153846*(0.3)</f>
        <v>0.58926945946153841</v>
      </c>
      <c r="G747">
        <f>1.17853891892308*(0.3)</f>
        <v>0.35356167567692304</v>
      </c>
      <c r="H747">
        <f>1.96423153153846*(0.3)</f>
        <v>0.58926945946153841</v>
      </c>
      <c r="I747">
        <f>1.96423153153846*(0.3)</f>
        <v>0.58926945946153841</v>
      </c>
      <c r="J747">
        <f>-0.392846306307692*(0.3)</f>
        <v>-0.11785389189230766</v>
      </c>
      <c r="K747">
        <f>1.96423153153846*(0.3)</f>
        <v>0.58926945946153841</v>
      </c>
      <c r="L747">
        <f>0.962473450453846*(0.3)</f>
        <v>0.28874203513615382</v>
      </c>
      <c r="M747">
        <f>2.16065468469231*(0.3)</f>
        <v>0.6481964054076923</v>
      </c>
      <c r="N747">
        <f>1.96423153153846*(0.3)</f>
        <v>0.58926945946153841</v>
      </c>
    </row>
    <row r="748" spans="1:14" x14ac:dyDescent="0.25">
      <c r="A748">
        <f>0.934246201*(0.3)</f>
        <v>0.28027386030000001</v>
      </c>
      <c r="B748">
        <f>-0.0718650923846154*(0.3)</f>
        <v>-2.1559527715384615E-2</v>
      </c>
      <c r="C748">
        <f>-0.215595277153846*(0.3)</f>
        <v>-6.4678583146153851E-2</v>
      </c>
      <c r="D748">
        <f>-0.0718650923846154*(0.3)</f>
        <v>-2.1559527715384615E-2</v>
      </c>
      <c r="E748">
        <f>-0.0718650923846154*(0.3)</f>
        <v>-2.1559527715384615E-2</v>
      </c>
      <c r="F748">
        <f>-0.0718650923846154*(0.3)</f>
        <v>-2.1559527715384615E-2</v>
      </c>
      <c r="G748">
        <f>-0.0431190554307692*(0.3)</f>
        <v>-1.2935716629230768E-2</v>
      </c>
      <c r="H748">
        <f>-0.0718650923846154*(0.3)</f>
        <v>-2.1559527715384615E-2</v>
      </c>
      <c r="I748">
        <f>-0.0718650923846154*(0.3)</f>
        <v>-2.1559527715384615E-2</v>
      </c>
      <c r="J748">
        <f>0.0143730184769231*(0.3)</f>
        <v>4.3119055430769215E-3</v>
      </c>
      <c r="K748">
        <f>-0.0718650923846154*(0.3)</f>
        <v>-2.1559527715384615E-2</v>
      </c>
      <c r="L748">
        <f>-0.0352138952684615*(0.3)</f>
        <v>-1.0564168580538462E-2</v>
      </c>
      <c r="M748">
        <f>-0.0790516016230769*(0.3)</f>
        <v>-2.3715480486923079E-2</v>
      </c>
      <c r="N748">
        <f>-0.0718650923846154*(0.3)</f>
        <v>-2.1559527715384615E-2</v>
      </c>
    </row>
    <row r="749" spans="1:14" x14ac:dyDescent="0.25">
      <c r="A749">
        <f>-30.78411944*(0.3)</f>
        <v>-9.2352358320000008</v>
      </c>
      <c r="B749">
        <f>2.36800918769231*(0.3)</f>
        <v>0.71040275630769234</v>
      </c>
      <c r="C749">
        <f>7.10402756307692*(0.3)</f>
        <v>2.1312082689230767</v>
      </c>
      <c r="D749">
        <f>2.36800918769231*(0.3)</f>
        <v>0.71040275630769234</v>
      </c>
      <c r="E749">
        <f>2.36800918769231*(0.3)</f>
        <v>0.71040275630769234</v>
      </c>
      <c r="F749">
        <f>2.36800918769231*(0.3)</f>
        <v>0.71040275630769234</v>
      </c>
      <c r="G749">
        <f>1.42080551261538*(0.3)</f>
        <v>0.42624165378461537</v>
      </c>
      <c r="H749">
        <f>2.36800918769231*(0.3)</f>
        <v>0.71040275630769234</v>
      </c>
      <c r="I749">
        <f>2.36800918769231*(0.3)</f>
        <v>0.71040275630769234</v>
      </c>
      <c r="J749">
        <f>-0.473601837538461*(0.3)</f>
        <v>-0.14208055126153843</v>
      </c>
      <c r="K749">
        <f>2.36800918769231*(0.3)</f>
        <v>0.71040275630769234</v>
      </c>
      <c r="L749">
        <f>1.16032450196923*(0.3)</f>
        <v>0.34809735059076924</v>
      </c>
      <c r="M749">
        <f>2.60481010646154*(0.3)</f>
        <v>0.78144303193846165</v>
      </c>
      <c r="N749">
        <f>2.36800918769231*(0.3)</f>
        <v>0.71040275630769234</v>
      </c>
    </row>
    <row r="750" spans="1:14" x14ac:dyDescent="0.25">
      <c r="A750">
        <f>-1.007870524*(0.3)</f>
        <v>-0.30236115720000001</v>
      </c>
      <c r="B750">
        <f>0.0775285018461539*(0.3)</f>
        <v>2.3258550553846156E-2</v>
      </c>
      <c r="C750">
        <f>0.232585505538462*(0.3)</f>
        <v>6.9775651661538471E-2</v>
      </c>
      <c r="D750">
        <f>0.0775285018461539*(0.3)</f>
        <v>2.3258550553846156E-2</v>
      </c>
      <c r="E750">
        <f>0.0775285018461539*(0.3)</f>
        <v>2.3258550553846156E-2</v>
      </c>
      <c r="F750">
        <f>0.0775285018461539*(0.3)</f>
        <v>2.3258550553846156E-2</v>
      </c>
      <c r="G750">
        <f>0.0465171011076923*(0.3)</f>
        <v>1.3955130332307693E-2</v>
      </c>
      <c r="H750">
        <f>0.0775285018461539*(0.3)</f>
        <v>2.3258550553846156E-2</v>
      </c>
      <c r="I750">
        <f>0.0775285018461539*(0.3)</f>
        <v>2.3258550553846156E-2</v>
      </c>
      <c r="J750">
        <f>-0.0155057003692308*(0.3)</f>
        <v>-4.6517101107692305E-3</v>
      </c>
      <c r="K750">
        <f>0.0775285018461539*(0.3)</f>
        <v>2.3258550553846156E-2</v>
      </c>
      <c r="L750">
        <f>0.0379889659046154*(0.3)</f>
        <v>1.1396689771384616E-2</v>
      </c>
      <c r="M750">
        <f>0.0852813520307693*(0.3)</f>
        <v>2.5584405609230775E-2</v>
      </c>
      <c r="N750">
        <f>0.0775285018461539*(0.3)</f>
        <v>2.3258550553846156E-2</v>
      </c>
    </row>
    <row r="751" spans="1:14" x14ac:dyDescent="0.25">
      <c r="A751">
        <f>-36.30631653*(0.3)</f>
        <v>-10.891894958999998</v>
      </c>
      <c r="B751">
        <f>2.79279357923077*(0.3)</f>
        <v>0.83783807376923058</v>
      </c>
      <c r="C751">
        <f>8.37838073769231*(0.3)</f>
        <v>2.513514221307692</v>
      </c>
      <c r="D751">
        <f>2.79279357923077*(0.3)</f>
        <v>0.83783807376923058</v>
      </c>
      <c r="E751">
        <f>2.79279357923077*(0.3)</f>
        <v>0.83783807376923058</v>
      </c>
      <c r="F751">
        <f>2.79279357923077*(0.3)</f>
        <v>0.83783807376923058</v>
      </c>
      <c r="G751">
        <f>1.67567614753846*(0.3)</f>
        <v>0.50270284426153833</v>
      </c>
      <c r="H751">
        <f>2.79279357923077*(0.3)</f>
        <v>0.83783807376923058</v>
      </c>
      <c r="I751">
        <f>2.79279357923077*(0.3)</f>
        <v>0.83783807376923058</v>
      </c>
      <c r="J751">
        <f>-0.558558715846154*(0.3)</f>
        <v>-0.16756761475384607</v>
      </c>
      <c r="K751">
        <f>2.79279357923077*(0.3)</f>
        <v>0.83783807376923058</v>
      </c>
      <c r="L751">
        <f>1.36846885382308*(0.3)</f>
        <v>0.41054065614692298</v>
      </c>
      <c r="M751">
        <f>3.07207293715385*(0.3)</f>
        <v>0.92162188114615373</v>
      </c>
      <c r="N751">
        <f>2.79279357923077*(0.3)</f>
        <v>0.83783807376923058</v>
      </c>
    </row>
    <row r="752" spans="1:14" x14ac:dyDescent="0.25">
      <c r="A752">
        <f>0.26193676*(0.3)</f>
        <v>7.8581027999999997E-2</v>
      </c>
      <c r="B752">
        <f>-0.0201489815384615*(0.3)</f>
        <v>-6.0446944615384617E-3</v>
      </c>
      <c r="C752">
        <f>-0.0604469446153846*(0.3)</f>
        <v>-1.8134083384615387E-2</v>
      </c>
      <c r="D752">
        <f>-0.0201489815384615*(0.3)</f>
        <v>-6.0446944615384617E-3</v>
      </c>
      <c r="E752">
        <f>-0.0201489815384615*(0.3)</f>
        <v>-6.0446944615384617E-3</v>
      </c>
      <c r="F752">
        <f>-0.0201489815384615*(0.3)</f>
        <v>-6.0446944615384617E-3</v>
      </c>
      <c r="G752">
        <f>-0.0120893889230769*(0.3)</f>
        <v>-3.6268166769230768E-3</v>
      </c>
      <c r="H752">
        <f>-0.0201489815384615*(0.3)</f>
        <v>-6.0446944615384617E-3</v>
      </c>
      <c r="I752">
        <f>-0.0201489815384615*(0.3)</f>
        <v>-6.0446944615384617E-3</v>
      </c>
      <c r="J752">
        <f>0.00402979630769231*(0.3)</f>
        <v>1.208938892307692E-3</v>
      </c>
      <c r="K752">
        <f>-0.0201489815384615*(0.3)</f>
        <v>-6.0446944615384617E-3</v>
      </c>
      <c r="L752">
        <f>-0.00987300095384615*(0.3)</f>
        <v>-2.9619002861538462E-3</v>
      </c>
      <c r="M752">
        <f>-0.0221638796923077*(0.3)</f>
        <v>-6.6491639076923081E-3</v>
      </c>
      <c r="N752">
        <f>-0.0201489815384615*(0.3)</f>
        <v>-6.0446944615384617E-3</v>
      </c>
    </row>
    <row r="753" spans="1:14" x14ac:dyDescent="0.25">
      <c r="A753">
        <f>-7.175733523*(0.3)</f>
        <v>-2.1527200568999998</v>
      </c>
      <c r="B753">
        <f>0.551979501769231*(0.3)</f>
        <v>0.16559385053076922</v>
      </c>
      <c r="C753">
        <f>1.65593850530769*(0.3)</f>
        <v>0.49678155159230758</v>
      </c>
      <c r="D753">
        <f>0.551979501769231*(0.3)</f>
        <v>0.16559385053076922</v>
      </c>
      <c r="E753">
        <f>0.551979501769231*(0.3)</f>
        <v>0.16559385053076922</v>
      </c>
      <c r="F753">
        <f>0.551979501769231*(0.3)</f>
        <v>0.16559385053076922</v>
      </c>
      <c r="G753">
        <f>0.331187701061538*(0.3)</f>
        <v>9.9356310318461524E-2</v>
      </c>
      <c r="H753">
        <f>0.551979501769231*(0.3)</f>
        <v>0.16559385053076922</v>
      </c>
      <c r="I753">
        <f>0.551979501769231*(0.3)</f>
        <v>0.16559385053076922</v>
      </c>
      <c r="J753">
        <f>-0.110395900353846*(0.3)</f>
        <v>-3.3118770106153834E-2</v>
      </c>
      <c r="K753">
        <f>0.551979501769231*(0.3)</f>
        <v>0.16559385053076922</v>
      </c>
      <c r="L753">
        <f>0.270469955866923*(0.3)</f>
        <v>8.1140986760076916E-2</v>
      </c>
      <c r="M753">
        <f>0.607177451946154*(0.3)</f>
        <v>0.18215323558384613</v>
      </c>
      <c r="N753">
        <f>0.551979501769231*(0.3)</f>
        <v>0.16559385053076922</v>
      </c>
    </row>
    <row r="754" spans="1:14" x14ac:dyDescent="0.25">
      <c r="A754">
        <f>-1.268461749*(0.3)</f>
        <v>-0.38053852469999999</v>
      </c>
      <c r="B754">
        <f>0.0975739806923077*(0.3)</f>
        <v>2.9272194207692309E-2</v>
      </c>
      <c r="C754">
        <f>0.292721942076923*(0.3)</f>
        <v>8.7816582623076928E-2</v>
      </c>
      <c r="D754">
        <f>0.0975739806923077*(0.3)</f>
        <v>2.9272194207692309E-2</v>
      </c>
      <c r="E754">
        <f>0.0975739806923077*(0.3)</f>
        <v>2.9272194207692309E-2</v>
      </c>
      <c r="F754">
        <f>0.0975739806923077*(0.3)</f>
        <v>2.9272194207692309E-2</v>
      </c>
      <c r="G754">
        <f>0.0585443884153846*(0.3)</f>
        <v>1.7563316524615385E-2</v>
      </c>
      <c r="H754">
        <f>0.0975739806923077*(0.3)</f>
        <v>2.9272194207692309E-2</v>
      </c>
      <c r="I754">
        <f>0.0975739806923077*(0.3)</f>
        <v>2.9272194207692309E-2</v>
      </c>
      <c r="J754">
        <f>-0.0195147961384615*(0.3)</f>
        <v>-5.8544388415384604E-3</v>
      </c>
      <c r="K754">
        <f>0.0975739806923077*(0.3)</f>
        <v>2.9272194207692309E-2</v>
      </c>
      <c r="L754">
        <f>0.0478112505392308*(0.3)</f>
        <v>1.434337516176923E-2</v>
      </c>
      <c r="M754">
        <f>0.107331378761538*(0.3)</f>
        <v>3.2199413628461543E-2</v>
      </c>
      <c r="N754">
        <f>0.0975739806923077*(0.3)</f>
        <v>2.9272194207692309E-2</v>
      </c>
    </row>
    <row r="755" spans="1:14" x14ac:dyDescent="0.25">
      <c r="A755">
        <f>-10.04741332*(0.3)</f>
        <v>-3.0142239960000001</v>
      </c>
      <c r="B755">
        <f>0.772877947692308*(0.3)</f>
        <v>0.23186338430769232</v>
      </c>
      <c r="C755">
        <f>2.31863384307692*(0.3)</f>
        <v>0.69559015292307691</v>
      </c>
      <c r="D755">
        <f>0.772877947692308*(0.3)</f>
        <v>0.23186338430769232</v>
      </c>
      <c r="E755">
        <f>0.772877947692308*(0.3)</f>
        <v>0.23186338430769232</v>
      </c>
      <c r="F755">
        <f>0.772877947692308*(0.3)</f>
        <v>0.23186338430769232</v>
      </c>
      <c r="G755">
        <f>0.463726768615385*(0.3)</f>
        <v>0.13911803058461539</v>
      </c>
      <c r="H755">
        <f>0.772877947692308*(0.3)</f>
        <v>0.23186338430769232</v>
      </c>
      <c r="I755">
        <f>0.772877947692308*(0.3)</f>
        <v>0.23186338430769232</v>
      </c>
      <c r="J755">
        <f>-0.154575589538462*(0.3)</f>
        <v>-4.6372676861538453E-2</v>
      </c>
      <c r="K755">
        <f>0.772877947692308*(0.3)</f>
        <v>0.23186338430769232</v>
      </c>
      <c r="L755">
        <f>0.378710194369231*(0.3)</f>
        <v>0.11361305831076923</v>
      </c>
      <c r="M755">
        <f>0.850165742461539*(0.3)</f>
        <v>0.2550497227384616</v>
      </c>
      <c r="N755">
        <f>0.772877947692308*(0.3)</f>
        <v>0.23186338430769232</v>
      </c>
    </row>
    <row r="756" spans="1:14" x14ac:dyDescent="0.25">
      <c r="A756">
        <f>-0.348661022*(0.3)</f>
        <v>-0.1045983066</v>
      </c>
      <c r="B756">
        <f>0.0268200786153846*(0.3)</f>
        <v>8.046023584615385E-3</v>
      </c>
      <c r="C756">
        <f>0.0804602358461538*(0.3)</f>
        <v>2.4138070753846153E-2</v>
      </c>
      <c r="D756">
        <f>0.0268200786153846*(0.3)</f>
        <v>8.046023584615385E-3</v>
      </c>
      <c r="E756">
        <f>0.0268200786153846*(0.3)</f>
        <v>8.046023584615385E-3</v>
      </c>
      <c r="F756">
        <f>0.0268200786153846*(0.3)</f>
        <v>8.046023584615385E-3</v>
      </c>
      <c r="G756">
        <f>0.0160920471692308*(0.3)</f>
        <v>4.8276141507692305E-3</v>
      </c>
      <c r="H756">
        <f>0.0268200786153846*(0.3)</f>
        <v>8.046023584615385E-3</v>
      </c>
      <c r="I756">
        <f>0.0268200786153846*(0.3)</f>
        <v>8.046023584615385E-3</v>
      </c>
      <c r="J756">
        <f>-0.00536401572307692*(0.3)</f>
        <v>-1.6092047169230766E-3</v>
      </c>
      <c r="K756">
        <f>0.0268200786153846*(0.3)</f>
        <v>8.046023584615385E-3</v>
      </c>
      <c r="L756">
        <f>0.0131418385215385*(0.3)</f>
        <v>3.9425515564615382E-3</v>
      </c>
      <c r="M756">
        <f>0.0295020864769231*(0.3)</f>
        <v>8.850625943076923E-3</v>
      </c>
      <c r="N756">
        <f>0.0268200786153846*(0.3)</f>
        <v>8.046023584615385E-3</v>
      </c>
    </row>
    <row r="757" spans="1:14" x14ac:dyDescent="0.25">
      <c r="A757">
        <f>-14.40604826*(0.3)</f>
        <v>-4.3218144780000003</v>
      </c>
      <c r="B757">
        <f>1.10815755846154*(0.3)</f>
        <v>0.33244726753846149</v>
      </c>
      <c r="C757">
        <f>3.32447267538461*(0.3)</f>
        <v>0.99734180261538441</v>
      </c>
      <c r="D757">
        <f>1.10815755846154*(0.3)</f>
        <v>0.33244726753846149</v>
      </c>
      <c r="E757">
        <f>1.10815755846154*(0.3)</f>
        <v>0.33244726753846149</v>
      </c>
      <c r="F757">
        <f>1.10815755846154*(0.3)</f>
        <v>0.33244726753846149</v>
      </c>
      <c r="G757">
        <f>0.664894535076923*(0.3)</f>
        <v>0.1994683605230769</v>
      </c>
      <c r="H757">
        <f>1.10815755846154*(0.3)</f>
        <v>0.33244726753846149</v>
      </c>
      <c r="I757">
        <f>1.10815755846154*(0.3)</f>
        <v>0.33244726753846149</v>
      </c>
      <c r="J757">
        <f>-0.221631511692308*(0.3)</f>
        <v>-6.6489453507692281E-2</v>
      </c>
      <c r="K757">
        <f>1.10815755846154*(0.3)</f>
        <v>0.33244726753846149</v>
      </c>
      <c r="L757">
        <f>0.542997203646154*(0.3)</f>
        <v>0.16289916109384614</v>
      </c>
      <c r="M757">
        <f>1.21897331430769*(0.3)</f>
        <v>0.3656919942923077</v>
      </c>
      <c r="N757">
        <f>1.10815755846154*(0.3)</f>
        <v>0.33244726753846149</v>
      </c>
    </row>
    <row r="758" spans="1:14" x14ac:dyDescent="0.25">
      <c r="A758">
        <f>-1.039957469*(0.3)</f>
        <v>-0.3119872407</v>
      </c>
      <c r="B758">
        <f>0.0799967283846154*(0.3)</f>
        <v>2.3999018515384614E-2</v>
      </c>
      <c r="C758">
        <f>0.239990185153846*(0.3)</f>
        <v>7.1997055546153849E-2</v>
      </c>
      <c r="D758">
        <f>0.0799967283846154*(0.3)</f>
        <v>2.3999018515384614E-2</v>
      </c>
      <c r="E758">
        <f>0.0799967283846154*(0.3)</f>
        <v>2.3999018515384614E-2</v>
      </c>
      <c r="F758">
        <f>0.0799967283846154*(0.3)</f>
        <v>2.3999018515384614E-2</v>
      </c>
      <c r="G758">
        <f>0.0479980370307692*(0.3)</f>
        <v>1.4399411109230768E-2</v>
      </c>
      <c r="H758">
        <f>0.0799967283846154*(0.3)</f>
        <v>2.3999018515384614E-2</v>
      </c>
      <c r="I758">
        <f>0.0799967283846154*(0.3)</f>
        <v>2.3999018515384614E-2</v>
      </c>
      <c r="J758">
        <f>-0.0159993456769231*(0.3)</f>
        <v>-4.7998037030769223E-3</v>
      </c>
      <c r="K758">
        <f>0.0799967283846154*(0.3)</f>
        <v>2.3999018515384614E-2</v>
      </c>
      <c r="L758">
        <f>0.0391983969084615*(0.3)</f>
        <v>1.1759519072538461E-2</v>
      </c>
      <c r="M758">
        <f>0.0879964012230769*(0.3)</f>
        <v>2.6398920366923078E-2</v>
      </c>
      <c r="N758">
        <f>0.0799967283846154*(0.3)</f>
        <v>2.3999018515384614E-2</v>
      </c>
    </row>
    <row r="759" spans="1:14" x14ac:dyDescent="0.25">
      <c r="A759">
        <f>-22.53026433*(0.3)</f>
        <v>-6.7590792990000006</v>
      </c>
      <c r="B759">
        <f>1.73309725615385*(0.3)</f>
        <v>0.51992917684615381</v>
      </c>
      <c r="C759">
        <f>5.19929176846154*(0.3)</f>
        <v>1.5597875305384614</v>
      </c>
      <c r="D759">
        <f>1.73309725615385*(0.3)</f>
        <v>0.51992917684615381</v>
      </c>
      <c r="E759">
        <f>1.73309725615385*(0.3)</f>
        <v>0.51992917684615381</v>
      </c>
      <c r="F759">
        <f>1.73309725615385*(0.3)</f>
        <v>0.51992917684615381</v>
      </c>
      <c r="G759">
        <f>1.03985835369231*(0.3)</f>
        <v>0.3119575061076923</v>
      </c>
      <c r="H759">
        <f>1.73309725615385*(0.3)</f>
        <v>0.51992917684615381</v>
      </c>
      <c r="I759">
        <f>1.73309725615385*(0.3)</f>
        <v>0.51992917684615381</v>
      </c>
      <c r="J759">
        <f>-0.346619451230769*(0.3)</f>
        <v>-0.10398583536923074</v>
      </c>
      <c r="K759">
        <f>1.73309725615385*(0.3)</f>
        <v>0.51992917684615381</v>
      </c>
      <c r="L759">
        <f>0.849217655515385*(0.3)</f>
        <v>0.25476529665461539</v>
      </c>
      <c r="M759">
        <f>1.90640698176923*(0.3)</f>
        <v>0.57192209453076925</v>
      </c>
      <c r="N759">
        <f>1.73309725615385*(0.3)</f>
        <v>0.51992917684615381</v>
      </c>
    </row>
    <row r="760" spans="1:14" x14ac:dyDescent="0.25">
      <c r="A760">
        <f>-0.508714119*(0.3)</f>
        <v>-0.15261423569999999</v>
      </c>
      <c r="B760">
        <f>0.0391318553076923*(0.3)</f>
        <v>1.1739556592307691E-2</v>
      </c>
      <c r="C760">
        <f>0.117395565923077*(0.3)</f>
        <v>3.5218669776923069E-2</v>
      </c>
      <c r="D760">
        <f>0.0391318553076923*(0.3)</f>
        <v>1.1739556592307691E-2</v>
      </c>
      <c r="E760">
        <f>0.0391318553076923*(0.3)</f>
        <v>1.1739556592307691E-2</v>
      </c>
      <c r="F760">
        <f>0.0391318553076923*(0.3)</f>
        <v>1.1739556592307691E-2</v>
      </c>
      <c r="G760">
        <f>0.0234791131846154*(0.3)</f>
        <v>7.0437339553846142E-3</v>
      </c>
      <c r="H760">
        <f>0.0391318553076923*(0.3)</f>
        <v>1.1739556592307691E-2</v>
      </c>
      <c r="I760">
        <f>0.0391318553076923*(0.3)</f>
        <v>1.1739556592307691E-2</v>
      </c>
      <c r="J760">
        <f>-0.00782637106153846*(0.3)</f>
        <v>-2.3479113184615374E-3</v>
      </c>
      <c r="K760">
        <f>0.0391318553076923*(0.3)</f>
        <v>1.1739556592307691E-2</v>
      </c>
      <c r="L760">
        <f>0.0191746091007692*(0.3)</f>
        <v>5.7523827302307685E-3</v>
      </c>
      <c r="M760">
        <f>0.0430450408384615*(0.3)</f>
        <v>1.291351225153846E-2</v>
      </c>
      <c r="N760">
        <f>0.0391318553076923*(0.3)</f>
        <v>1.1739556592307691E-2</v>
      </c>
    </row>
    <row r="761" spans="1:14" x14ac:dyDescent="0.25">
      <c r="A761">
        <f>-20.74157523*(0.3)</f>
        <v>-6.2224725689999998</v>
      </c>
      <c r="B761">
        <f>1.59550578692308*(0.3)</f>
        <v>0.47865173607692302</v>
      </c>
      <c r="C761">
        <f>4.78651736076923*(0.3)</f>
        <v>1.4359552082307692</v>
      </c>
      <c r="D761">
        <f>1.59550578692308*(0.3)</f>
        <v>0.47865173607692302</v>
      </c>
      <c r="E761">
        <f>1.59550578692308*(0.3)</f>
        <v>0.47865173607692302</v>
      </c>
      <c r="F761">
        <f>1.59550578692308*(0.3)</f>
        <v>0.47865173607692302</v>
      </c>
      <c r="G761">
        <f>0.957303472153846*(0.3)</f>
        <v>0.28719104164615378</v>
      </c>
      <c r="H761">
        <f>1.59550578692308*(0.3)</f>
        <v>0.47865173607692302</v>
      </c>
      <c r="I761">
        <f>1.59550578692308*(0.3)</f>
        <v>0.47865173607692302</v>
      </c>
      <c r="J761">
        <f>-0.319101157384615*(0.3)</f>
        <v>-9.5730347215384592E-2</v>
      </c>
      <c r="K761">
        <f>1.59550578692308*(0.3)</f>
        <v>0.47865173607692302</v>
      </c>
      <c r="L761">
        <f>0.781797835592308*(0.3)</f>
        <v>0.23453935067769227</v>
      </c>
      <c r="M761">
        <f>1.75505636561538*(0.3)</f>
        <v>0.5265169096846154</v>
      </c>
      <c r="N761">
        <f>1.59550578692308*(0.3)</f>
        <v>0.47865173607692302</v>
      </c>
    </row>
    <row r="762" spans="1:14" x14ac:dyDescent="0.25">
      <c r="A762">
        <f>-1.025987885*(0.3)</f>
        <v>-0.30779636549999995</v>
      </c>
      <c r="B762">
        <f>0.078922145*(0.3)</f>
        <v>2.36766435E-2</v>
      </c>
      <c r="C762">
        <f>0.236766435*(0.3)</f>
        <v>7.1029930499999991E-2</v>
      </c>
      <c r="D762">
        <f>0.078922145*(0.3)</f>
        <v>2.36766435E-2</v>
      </c>
      <c r="E762">
        <f>0.078922145*(0.3)</f>
        <v>2.36766435E-2</v>
      </c>
      <c r="F762">
        <f>0.078922145*(0.3)</f>
        <v>2.36766435E-2</v>
      </c>
      <c r="G762">
        <f>0.047353287*(0.3)</f>
        <v>1.42059861E-2</v>
      </c>
      <c r="H762">
        <f>0.078922145*(0.3)</f>
        <v>2.36766435E-2</v>
      </c>
      <c r="I762">
        <f>0.078922145*(0.3)</f>
        <v>2.36766435E-2</v>
      </c>
      <c r="J762">
        <f>-0.015784429*(0.3)</f>
        <v>-4.7353286999999985E-3</v>
      </c>
      <c r="K762">
        <f>0.078922145*(0.3)</f>
        <v>2.36766435E-2</v>
      </c>
      <c r="L762">
        <f>0.03867185105*(0.3)</f>
        <v>1.1601555315E-2</v>
      </c>
      <c r="M762">
        <f>0.0868143595*(0.3)</f>
        <v>2.604430785E-2</v>
      </c>
      <c r="N762">
        <f>0.078922145*(0.3)</f>
        <v>2.36766435E-2</v>
      </c>
    </row>
    <row r="763" spans="1:14" x14ac:dyDescent="0.25">
      <c r="A763">
        <f>-30.66017941*(0.3)</f>
        <v>-9.1980538230000004</v>
      </c>
      <c r="B763">
        <f>2.35847533923077*(0.3)</f>
        <v>0.70754260176923067</v>
      </c>
      <c r="C763">
        <f>7.07542601769231*(0.3)</f>
        <v>2.1226278053076921</v>
      </c>
      <c r="D763">
        <f>2.35847533923077*(0.3)</f>
        <v>0.70754260176923067</v>
      </c>
      <c r="E763">
        <f>2.35847533923077*(0.3)</f>
        <v>0.70754260176923067</v>
      </c>
      <c r="F763">
        <f>2.35847533923077*(0.3)</f>
        <v>0.70754260176923067</v>
      </c>
      <c r="G763">
        <f>1.41508520353846*(0.3)</f>
        <v>0.42452556106153838</v>
      </c>
      <c r="H763">
        <f>2.35847533923077*(0.3)</f>
        <v>0.70754260176923067</v>
      </c>
      <c r="I763">
        <f>2.35847533923077*(0.3)</f>
        <v>0.70754260176923067</v>
      </c>
      <c r="J763">
        <f>-0.471695067846154*(0.3)</f>
        <v>-0.14150852035384612</v>
      </c>
      <c r="K763">
        <f>2.35847533923077*(0.3)</f>
        <v>0.70754260176923067</v>
      </c>
      <c r="L763">
        <f>1.15565291622308*(0.3)</f>
        <v>0.34669587486692305</v>
      </c>
      <c r="M763">
        <f>2.59432287315385*(0.3)</f>
        <v>0.77829686194615377</v>
      </c>
      <c r="N763">
        <f>2.35847533923077*(0.3)</f>
        <v>0.70754260176923067</v>
      </c>
    </row>
    <row r="764" spans="1:14" x14ac:dyDescent="0.25">
      <c r="A764">
        <f>1.903670452*(0.3)</f>
        <v>0.57110113559999998</v>
      </c>
      <c r="B764">
        <f>-0.146436188615385*(0.3)</f>
        <v>-4.3930856584615388E-2</v>
      </c>
      <c r="C764">
        <f>-0.439308565846154*(0.3)</f>
        <v>-0.13179256975384615</v>
      </c>
      <c r="D764">
        <f>-0.146436188615385*(0.3)</f>
        <v>-4.3930856584615388E-2</v>
      </c>
      <c r="E764">
        <f>-0.146436188615385*(0.3)</f>
        <v>-4.3930856584615388E-2</v>
      </c>
      <c r="F764">
        <f>-0.146436188615385*(0.3)</f>
        <v>-4.3930856584615388E-2</v>
      </c>
      <c r="G764">
        <f>-0.0878617131692308*(0.3)</f>
        <v>-2.6358513950769231E-2</v>
      </c>
      <c r="H764">
        <f>-0.146436188615385*(0.3)</f>
        <v>-4.3930856584615388E-2</v>
      </c>
      <c r="I764">
        <f>-0.146436188615385*(0.3)</f>
        <v>-4.3930856584615388E-2</v>
      </c>
      <c r="J764">
        <f>0.0292872377230769*(0.3)</f>
        <v>8.7861713169230752E-3</v>
      </c>
      <c r="K764">
        <f>-0.146436188615385*(0.3)</f>
        <v>-4.3930856584615388E-2</v>
      </c>
      <c r="L764">
        <f>-0.0717537324215385*(0.3)</f>
        <v>-2.152611972646154E-2</v>
      </c>
      <c r="M764">
        <f>-0.161079807476923*(0.3)</f>
        <v>-4.8323942243076928E-2</v>
      </c>
      <c r="N764">
        <f>-0.146436188615385*(0.3)</f>
        <v>-4.3930856584615388E-2</v>
      </c>
    </row>
    <row r="765" spans="1:14" x14ac:dyDescent="0.25">
      <c r="A765">
        <f>-35.76778228*(0.3)</f>
        <v>-10.730334683999999</v>
      </c>
      <c r="B765">
        <f>2.75136786769231*(0.3)</f>
        <v>0.82541036030769221</v>
      </c>
      <c r="C765">
        <f>8.25410360307692*(0.3)</f>
        <v>2.4762310809230765</v>
      </c>
      <c r="D765">
        <f>2.75136786769231*(0.3)</f>
        <v>0.82541036030769221</v>
      </c>
      <c r="E765">
        <f>2.75136786769231*(0.3)</f>
        <v>0.82541036030769221</v>
      </c>
      <c r="F765">
        <f>2.75136786769231*(0.3)</f>
        <v>0.82541036030769221</v>
      </c>
      <c r="G765">
        <f>1.65082072061538*(0.3)</f>
        <v>0.49524621618461528</v>
      </c>
      <c r="H765">
        <f>2.75136786769231*(0.3)</f>
        <v>0.82541036030769221</v>
      </c>
      <c r="I765">
        <f>2.75136786769231*(0.3)</f>
        <v>0.82541036030769221</v>
      </c>
      <c r="J765">
        <f>-0.550273573538461*(0.3)</f>
        <v>-0.16508207206153841</v>
      </c>
      <c r="K765">
        <f>2.75136786769231*(0.3)</f>
        <v>0.82541036030769221</v>
      </c>
      <c r="L765">
        <f>1.34817025516923*(0.3)</f>
        <v>0.40445107655076923</v>
      </c>
      <c r="M765">
        <f>3.02650465446154*(0.3)</f>
        <v>0.90795139633846145</v>
      </c>
      <c r="N765">
        <f>2.75136786769231*(0.3)</f>
        <v>0.82541036030769221</v>
      </c>
    </row>
    <row r="766" spans="1:14" x14ac:dyDescent="0.25">
      <c r="A766">
        <f>2.34369725*(0.3)</f>
        <v>0.70310917499999992</v>
      </c>
      <c r="B766">
        <f>-0.180284403846154*(0.3)</f>
        <v>-5.4085321153846157E-2</v>
      </c>
      <c r="C766">
        <f>-0.540853211538462*(0.3)</f>
        <v>-0.16225596346153845</v>
      </c>
      <c r="D766">
        <f>-0.180284403846154*(0.3)</f>
        <v>-5.4085321153846157E-2</v>
      </c>
      <c r="E766">
        <f>-0.180284403846154*(0.3)</f>
        <v>-5.4085321153846157E-2</v>
      </c>
      <c r="F766">
        <f>-0.180284403846154*(0.3)</f>
        <v>-5.4085321153846157E-2</v>
      </c>
      <c r="G766">
        <f>-0.108170642307692*(0.3)</f>
        <v>-3.2451192692307694E-2</v>
      </c>
      <c r="H766">
        <f>-0.180284403846154*(0.3)</f>
        <v>-5.4085321153846157E-2</v>
      </c>
      <c r="I766">
        <f>-0.180284403846154*(0.3)</f>
        <v>-5.4085321153846157E-2</v>
      </c>
      <c r="J766">
        <f>0.0360568807692308*(0.3)</f>
        <v>1.0817064230769228E-2</v>
      </c>
      <c r="K766">
        <f>-0.180284403846154*(0.3)</f>
        <v>-5.4085321153846157E-2</v>
      </c>
      <c r="L766">
        <f>-0.0883393578846154*(0.3)</f>
        <v>-2.6501807365384617E-2</v>
      </c>
      <c r="M766">
        <f>-0.198312844230769*(0.3)</f>
        <v>-5.9493853269230776E-2</v>
      </c>
      <c r="N766">
        <f>-0.180284403846154*(0.3)</f>
        <v>-5.4085321153846157E-2</v>
      </c>
    </row>
    <row r="767" spans="1:14" x14ac:dyDescent="0.25">
      <c r="A767">
        <f>-38.46627618*(0.3)</f>
        <v>-11.539882854</v>
      </c>
      <c r="B767">
        <f>2.95894432153846*(0.3)</f>
        <v>0.88768329646153843</v>
      </c>
      <c r="C767">
        <f>8.87683296461539*(0.3)</f>
        <v>2.6630498893846153</v>
      </c>
      <c r="D767">
        <f>2.95894432153846*(0.3)</f>
        <v>0.88768329646153843</v>
      </c>
      <c r="E767">
        <f>2.95894432153846*(0.3)</f>
        <v>0.88768329646153843</v>
      </c>
      <c r="F767">
        <f>2.95894432153846*(0.3)</f>
        <v>0.88768329646153843</v>
      </c>
      <c r="G767">
        <f>1.77536659292308*(0.3)</f>
        <v>0.53260997787692299</v>
      </c>
      <c r="H767">
        <f>2.95894432153846*(0.3)</f>
        <v>0.88768329646153843</v>
      </c>
      <c r="I767">
        <f>2.95894432153846*(0.3)</f>
        <v>0.88768329646153843</v>
      </c>
      <c r="J767">
        <f>-0.591788864307692*(0.3)</f>
        <v>-0.17753665929230764</v>
      </c>
      <c r="K767">
        <f>2.95894432153846*(0.3)</f>
        <v>0.88768329646153843</v>
      </c>
      <c r="L767">
        <f>1.44988271755385*(0.3)</f>
        <v>0.43496481526615377</v>
      </c>
      <c r="M767">
        <f>3.25483875369231*(0.3)</f>
        <v>0.97645162610769232</v>
      </c>
      <c r="N767">
        <f>2.95894432153846*(0.3)</f>
        <v>0.88768329646153843</v>
      </c>
    </row>
    <row r="768" spans="1:14" x14ac:dyDescent="0.25">
      <c r="A768">
        <f>-0.235814312*(0.3)</f>
        <v>-7.0744293599999994E-2</v>
      </c>
      <c r="B768">
        <f>0.0181395624615385*(0.3)</f>
        <v>5.4418687384615383E-3</v>
      </c>
      <c r="C768">
        <f>0.0544186873846154*(0.3)</f>
        <v>1.6325606215384616E-2</v>
      </c>
      <c r="D768">
        <f>0.0181395624615385*(0.3)</f>
        <v>5.4418687384615383E-3</v>
      </c>
      <c r="E768">
        <f>0.0181395624615385*(0.3)</f>
        <v>5.4418687384615383E-3</v>
      </c>
      <c r="F768">
        <f>0.0181395624615385*(0.3)</f>
        <v>5.4418687384615383E-3</v>
      </c>
      <c r="G768">
        <f>0.0108837374769231*(0.3)</f>
        <v>3.2651212430769229E-3</v>
      </c>
      <c r="H768">
        <f>0.0181395624615385*(0.3)</f>
        <v>5.4418687384615383E-3</v>
      </c>
      <c r="I768">
        <f>0.0181395624615385*(0.3)</f>
        <v>5.4418687384615383E-3</v>
      </c>
      <c r="J768">
        <f>-0.00362791249230769*(0.3)</f>
        <v>-1.0883737476923075E-3</v>
      </c>
      <c r="K768">
        <f>0.0181395624615385*(0.3)</f>
        <v>5.4418687384615383E-3</v>
      </c>
      <c r="L768">
        <f>0.00888838560615385*(0.3)</f>
        <v>2.6665156818461537E-3</v>
      </c>
      <c r="M768">
        <f>0.0199535187076923*(0.3)</f>
        <v>5.9860556123076929E-3</v>
      </c>
      <c r="N768">
        <f>0.0181395624615385*(0.3)</f>
        <v>5.4418687384615383E-3</v>
      </c>
    </row>
    <row r="769" spans="1:14" x14ac:dyDescent="0.25">
      <c r="A769">
        <f>47.78241388*(0.3)</f>
        <v>14.334724163999999</v>
      </c>
      <c r="B769">
        <f>-3.67557029846154*(0.3)</f>
        <v>-1.1026710895384615</v>
      </c>
      <c r="C769">
        <f>-11.0267108953846*(0.3)</f>
        <v>-3.3080132686153845</v>
      </c>
      <c r="D769">
        <f>-3.67557029846154*(0.3)</f>
        <v>-1.1026710895384615</v>
      </c>
      <c r="E769">
        <f>-3.67557029846154*(0.3)</f>
        <v>-1.1026710895384615</v>
      </c>
      <c r="F769">
        <f>-3.67557029846154*(0.3)</f>
        <v>-1.1026710895384615</v>
      </c>
      <c r="G769">
        <f>-2.20534217907692*(0.3)</f>
        <v>-0.66160265372307692</v>
      </c>
      <c r="H769">
        <f>-3.67557029846154*(0.3)</f>
        <v>-1.1026710895384615</v>
      </c>
      <c r="I769">
        <f>-3.67557029846154*(0.3)</f>
        <v>-1.1026710895384615</v>
      </c>
      <c r="J769">
        <f>0.735114059692308*(0.3)</f>
        <v>0.22053421790769226</v>
      </c>
      <c r="K769">
        <f>-3.67557029846154*(0.3)</f>
        <v>-1.1026710895384615</v>
      </c>
      <c r="L769">
        <f>-1.80102944624615*(0.3)</f>
        <v>-0.54030883387384609</v>
      </c>
      <c r="M769">
        <f>-4.04312732830769*(0.3)</f>
        <v>-1.212938198492308</v>
      </c>
      <c r="N769">
        <f>-3.67557029846154*(0.3)</f>
        <v>-1.1026710895384615</v>
      </c>
    </row>
    <row r="770" spans="1:14" x14ac:dyDescent="0.25">
      <c r="A770">
        <f>775.7829707*(0.3)</f>
        <v>232.73489120999997</v>
      </c>
      <c r="B770">
        <f>-59.6756131307692*(0.3)</f>
        <v>-17.902683939230769</v>
      </c>
      <c r="C770">
        <f>-179.026839392308*(0.3)</f>
        <v>-53.708051817692308</v>
      </c>
      <c r="D770">
        <f>-59.6756131307692*(0.3)</f>
        <v>-17.902683939230769</v>
      </c>
      <c r="E770">
        <f>-59.6756131307692*(0.3)</f>
        <v>-17.902683939230769</v>
      </c>
      <c r="F770">
        <f>-59.6756131307692*(0.3)</f>
        <v>-17.902683939230769</v>
      </c>
      <c r="G770">
        <f>-35.8053678784615*(0.3)</f>
        <v>-10.741610363538461</v>
      </c>
      <c r="H770">
        <f>-59.6756131307692*(0.3)</f>
        <v>-17.902683939230769</v>
      </c>
      <c r="I770">
        <f>-59.6756131307692*(0.3)</f>
        <v>-17.902683939230769</v>
      </c>
      <c r="J770">
        <f>11.9351226261538*(0.3)</f>
        <v>3.5805367878461527</v>
      </c>
      <c r="K770">
        <f>-59.6756131307692*(0.3)</f>
        <v>-17.902683939230769</v>
      </c>
      <c r="L770">
        <f>-29.2410504340769*(0.3)</f>
        <v>-8.7723151302230757</v>
      </c>
      <c r="M770">
        <f>-65.6431744438462*(0.3)</f>
        <v>-19.692952333153848</v>
      </c>
      <c r="N770">
        <f>-59.6756131307692*(0.3)</f>
        <v>-17.902683939230769</v>
      </c>
    </row>
    <row r="771" spans="1:14" x14ac:dyDescent="0.25">
      <c r="A771">
        <f>64.27659739*(0.3)</f>
        <v>19.282979217000001</v>
      </c>
      <c r="B771">
        <f>-4.94435364538462*(0.3)</f>
        <v>-1.4833060936153846</v>
      </c>
      <c r="C771">
        <f>-14.8330609361538*(0.3)</f>
        <v>-4.4499182808461537</v>
      </c>
      <c r="D771">
        <f>-4.94435364538462*(0.3)</f>
        <v>-1.4833060936153846</v>
      </c>
      <c r="E771">
        <f>-4.94435364538462*(0.3)</f>
        <v>-1.4833060936153846</v>
      </c>
      <c r="F771">
        <f>-4.94435364538462*(0.3)</f>
        <v>-1.4833060936153846</v>
      </c>
      <c r="G771">
        <f>-2.96661218723077*(0.3)</f>
        <v>-0.8899836561692307</v>
      </c>
      <c r="H771">
        <f>-4.94435364538462*(0.3)</f>
        <v>-1.4833060936153846</v>
      </c>
      <c r="I771">
        <f>-4.94435364538462*(0.3)</f>
        <v>-1.4833060936153846</v>
      </c>
      <c r="J771">
        <f>0.988870729076923*(0.3)</f>
        <v>0.29666121872307682</v>
      </c>
      <c r="K771">
        <f>-4.94435364538462*(0.3)</f>
        <v>-1.4833060936153846</v>
      </c>
      <c r="L771">
        <f>-2.42273328623846*(0.3)</f>
        <v>-0.7268199858715384</v>
      </c>
      <c r="M771">
        <f>-5.43878900992308*(0.3)</f>
        <v>-1.6316367029769232</v>
      </c>
      <c r="N771">
        <f>-4.94435364538462*(0.3)</f>
        <v>-1.4833060936153846</v>
      </c>
    </row>
    <row r="772" spans="1:14" x14ac:dyDescent="0.25">
      <c r="A772">
        <f>1040.689637*(0.3)</f>
        <v>312.20689109999995</v>
      </c>
      <c r="B772">
        <f>-80.053049*(0.3)</f>
        <v>-24.0159147</v>
      </c>
      <c r="C772">
        <f>-240.159147*(0.3)</f>
        <v>-72.047744100000003</v>
      </c>
      <c r="D772">
        <f>-80.053049*(0.3)</f>
        <v>-24.0159147</v>
      </c>
      <c r="E772">
        <f>-80.053049*(0.3)</f>
        <v>-24.0159147</v>
      </c>
      <c r="F772">
        <f>-80.053049*(0.3)</f>
        <v>-24.0159147</v>
      </c>
      <c r="G772">
        <f>-48.0318294*(0.3)</f>
        <v>-14.409548819999999</v>
      </c>
      <c r="H772">
        <f>-80.053049*(0.3)</f>
        <v>-24.0159147</v>
      </c>
      <c r="I772">
        <f>-80.053049*(0.3)</f>
        <v>-24.0159147</v>
      </c>
      <c r="J772">
        <f>16.0106098*(0.3)</f>
        <v>4.8031829399999992</v>
      </c>
      <c r="K772">
        <f>-80.053049*(0.3)</f>
        <v>-24.0159147</v>
      </c>
      <c r="L772">
        <f>-39.22599401*(0.3)</f>
        <v>-11.767798203</v>
      </c>
      <c r="M772">
        <f>-88.0583539*(0.3)</f>
        <v>-26.417506170000003</v>
      </c>
      <c r="N772">
        <f>-80.053049*(0.3)</f>
        <v>-24.0159147</v>
      </c>
    </row>
    <row r="773" spans="1:14" x14ac:dyDescent="0.25">
      <c r="A773">
        <f>79.52799521*(0.3)</f>
        <v>23.858398562999998</v>
      </c>
      <c r="B773">
        <f>-6.11753809307692*(0.3)</f>
        <v>-1.8352614279230768</v>
      </c>
      <c r="C773">
        <f>-18.3526142792308*(0.3)</f>
        <v>-5.5057842837692297</v>
      </c>
      <c r="D773">
        <f>-6.11753809307692*(0.3)</f>
        <v>-1.8352614279230768</v>
      </c>
      <c r="E773">
        <f>-6.11753809307692*(0.3)</f>
        <v>-1.8352614279230768</v>
      </c>
      <c r="F773">
        <f>-6.11753809307692*(0.3)</f>
        <v>-1.8352614279230768</v>
      </c>
      <c r="G773">
        <f>-3.67052285584615*(0.3)</f>
        <v>-1.1011568567538461</v>
      </c>
      <c r="H773">
        <f>-6.11753809307692*(0.3)</f>
        <v>-1.8352614279230768</v>
      </c>
      <c r="I773">
        <f>-6.11753809307692*(0.3)</f>
        <v>-1.8352614279230768</v>
      </c>
      <c r="J773">
        <f>1.22350761861538*(0.3)</f>
        <v>0.36705228558461528</v>
      </c>
      <c r="K773">
        <f>-6.11753809307692*(0.3)</f>
        <v>-1.8352614279230768</v>
      </c>
      <c r="L773">
        <f>-2.99759366560769*(0.3)</f>
        <v>-0.89927809968230765</v>
      </c>
      <c r="M773">
        <f>-6.72929190238462*(0.3)</f>
        <v>-2.0187875707153848</v>
      </c>
      <c r="N773">
        <f>-6.11753809307692*(0.3)</f>
        <v>-1.8352614279230768</v>
      </c>
    </row>
    <row r="774" spans="1:14" x14ac:dyDescent="0.25">
      <c r="A774">
        <f>1312.91321*(0.3)</f>
        <v>393.87396299999995</v>
      </c>
      <c r="B774">
        <f>-100.993323846154*(0.3)</f>
        <v>-30.297997153846151</v>
      </c>
      <c r="C774">
        <f>-302.979971538462*(0.3)</f>
        <v>-90.893991461538462</v>
      </c>
      <c r="D774">
        <f>-100.993323846154*(0.3)</f>
        <v>-30.297997153846151</v>
      </c>
      <c r="E774">
        <f>-100.993323846154*(0.3)</f>
        <v>-30.297997153846151</v>
      </c>
      <c r="F774">
        <f>-100.993323846154*(0.3)</f>
        <v>-30.297997153846151</v>
      </c>
      <c r="G774">
        <f>-60.5959943076923*(0.3)</f>
        <v>-18.17879829230769</v>
      </c>
      <c r="H774">
        <f>-100.993323846154*(0.3)</f>
        <v>-30.297997153846151</v>
      </c>
      <c r="I774">
        <f>-100.993323846154*(0.3)</f>
        <v>-30.297997153846151</v>
      </c>
      <c r="J774">
        <f>20.1986647692308*(0.3)</f>
        <v>6.0595994307692287</v>
      </c>
      <c r="K774">
        <f>-100.993323846154*(0.3)</f>
        <v>-30.297997153846151</v>
      </c>
      <c r="L774">
        <f>-49.4867286846154*(0.3)</f>
        <v>-14.846018605384613</v>
      </c>
      <c r="M774">
        <f>-111.092656230769*(0.3)</f>
        <v>-33.327796869230767</v>
      </c>
      <c r="N774">
        <f>-100.993323846154*(0.3)</f>
        <v>-30.297997153846151</v>
      </c>
    </row>
    <row r="775" spans="1:14" x14ac:dyDescent="0.25">
      <c r="A775">
        <f>92.86394541*(0.3)</f>
        <v>27.859183623</v>
      </c>
      <c r="B775">
        <f>-7.14338041615385*(0.3)</f>
        <v>-2.1430141248461538</v>
      </c>
      <c r="C775">
        <f>-21.4301412484615*(0.3)</f>
        <v>-6.4290423745384615</v>
      </c>
      <c r="D775">
        <f>-7.14338041615385*(0.3)</f>
        <v>-2.1430141248461538</v>
      </c>
      <c r="E775">
        <f>-7.14338041615385*(0.3)</f>
        <v>-2.1430141248461538</v>
      </c>
      <c r="F775">
        <f>-7.14338041615385*(0.3)</f>
        <v>-2.1430141248461538</v>
      </c>
      <c r="G775">
        <f>-4.28602824969231*(0.3)</f>
        <v>-1.2858084749076923</v>
      </c>
      <c r="H775">
        <f>-7.14338041615385*(0.3)</f>
        <v>-2.1430141248461538</v>
      </c>
      <c r="I775">
        <f>-7.14338041615385*(0.3)</f>
        <v>-2.1430141248461538</v>
      </c>
      <c r="J775">
        <f>1.42867608323077*(0.3)</f>
        <v>0.42860282496923069</v>
      </c>
      <c r="K775">
        <f>-7.14338041615385*(0.3)</f>
        <v>-2.1430141248461538</v>
      </c>
      <c r="L775">
        <f>-3.50025640391538*(0.3)</f>
        <v>-1.0500769211746153</v>
      </c>
      <c r="M775">
        <f>-7.85771845776923*(0.3)</f>
        <v>-2.3573155373307695</v>
      </c>
      <c r="N775">
        <f>-7.14338041615385*(0.3)</f>
        <v>-2.1430141248461538</v>
      </c>
    </row>
    <row r="776" spans="1:14" x14ac:dyDescent="0.25">
      <c r="A776">
        <f>1590.704153*(0.3)</f>
        <v>477.21124589999994</v>
      </c>
      <c r="B776">
        <f>-122.361857923077*(0.3)</f>
        <v>-36.708557376923075</v>
      </c>
      <c r="C776">
        <f>-367.085573769231*(0.3)</f>
        <v>-110.12567213076922</v>
      </c>
      <c r="D776">
        <f>-122.361857923077*(0.3)</f>
        <v>-36.708557376923075</v>
      </c>
      <c r="E776">
        <f>-122.361857923077*(0.3)</f>
        <v>-36.708557376923075</v>
      </c>
      <c r="F776">
        <f>-122.361857923077*(0.3)</f>
        <v>-36.708557376923075</v>
      </c>
      <c r="G776">
        <f>-73.4171147538461*(0.3)</f>
        <v>-22.025134426153844</v>
      </c>
      <c r="H776">
        <f>-122.361857923077*(0.3)</f>
        <v>-36.708557376923075</v>
      </c>
      <c r="I776">
        <f>-122.361857923077*(0.3)</f>
        <v>-36.708557376923075</v>
      </c>
      <c r="J776">
        <f>24.4723715846154*(0.3)</f>
        <v>7.3417114753846127</v>
      </c>
      <c r="K776">
        <f>-122.361857923077*(0.3)</f>
        <v>-36.708557376923075</v>
      </c>
      <c r="L776">
        <f>-59.9573103823077*(0.3)</f>
        <v>-17.987193114692303</v>
      </c>
      <c r="M776">
        <f>-134.598043715385*(0.3)</f>
        <v>-40.379413114615382</v>
      </c>
      <c r="N776">
        <f>-122.361857923077*(0.3)</f>
        <v>-36.708557376923075</v>
      </c>
    </row>
    <row r="777" spans="1:14" x14ac:dyDescent="0.25">
      <c r="A777">
        <f>104.0529331*(0.3)</f>
        <v>31.21587993</v>
      </c>
      <c r="B777">
        <f>-8.00407177692308*(0.3)</f>
        <v>-2.4012215330769231</v>
      </c>
      <c r="C777">
        <f>-24.0122153307692*(0.3)</f>
        <v>-7.2036645992307689</v>
      </c>
      <c r="D777">
        <f>-8.00407177692308*(0.3)</f>
        <v>-2.4012215330769231</v>
      </c>
      <c r="E777">
        <f>-8.00407177692308*(0.3)</f>
        <v>-2.4012215330769231</v>
      </c>
      <c r="F777">
        <f>-8.00407177692308*(0.3)</f>
        <v>-2.4012215330769231</v>
      </c>
      <c r="G777">
        <f>-4.80244306615385*(0.3)</f>
        <v>-1.4407329198461538</v>
      </c>
      <c r="H777">
        <f>-8.00407177692308*(0.3)</f>
        <v>-2.4012215330769231</v>
      </c>
      <c r="I777">
        <f>-8.00407177692308*(0.3)</f>
        <v>-2.4012215330769231</v>
      </c>
      <c r="J777">
        <f>1.60081435538462*(0.3)</f>
        <v>0.48024430661538448</v>
      </c>
      <c r="K777">
        <f>-8.00407177692308*(0.3)</f>
        <v>-2.4012215330769231</v>
      </c>
      <c r="L777">
        <f>-3.92199517069231*(0.3)</f>
        <v>-1.1765985512076922</v>
      </c>
      <c r="M777">
        <f>-8.80447895461539*(0.3)</f>
        <v>-2.6413436863846154</v>
      </c>
      <c r="N777">
        <f>-8.00407177692308*(0.3)</f>
        <v>-2.4012215330769231</v>
      </c>
    </row>
    <row r="778" spans="1:14" x14ac:dyDescent="0.25">
      <c r="A778">
        <f>1868.421707*(0.3)</f>
        <v>560.52651209999999</v>
      </c>
      <c r="B778">
        <f>-143.724746692308*(0.3)</f>
        <v>-43.117424007692307</v>
      </c>
      <c r="C778">
        <f>-431.174240076923*(0.3)</f>
        <v>-129.35227202307692</v>
      </c>
      <c r="D778">
        <f>-143.724746692308*(0.3)</f>
        <v>-43.117424007692307</v>
      </c>
      <c r="E778">
        <f>-143.724746692308*(0.3)</f>
        <v>-43.117424007692307</v>
      </c>
      <c r="F778">
        <f>-143.724746692308*(0.3)</f>
        <v>-43.117424007692307</v>
      </c>
      <c r="G778">
        <f>-86.2348480153846*(0.3)</f>
        <v>-25.870454404615383</v>
      </c>
      <c r="H778">
        <f>-143.724746692308*(0.3)</f>
        <v>-43.117424007692307</v>
      </c>
      <c r="I778">
        <f>-143.724746692308*(0.3)</f>
        <v>-43.117424007692307</v>
      </c>
      <c r="J778">
        <f>28.7449493384615*(0.3)</f>
        <v>8.6234848015384582</v>
      </c>
      <c r="K778">
        <f>-143.724746692308*(0.3)</f>
        <v>-43.117424007692307</v>
      </c>
      <c r="L778">
        <f>-70.4251258792308*(0.3)</f>
        <v>-21.127537763769229</v>
      </c>
      <c r="M778">
        <f>-158.097221361538*(0.3)</f>
        <v>-47.429166408461533</v>
      </c>
      <c r="N778">
        <f>-143.724746692308*(0.3)</f>
        <v>-43.117424007692307</v>
      </c>
    </row>
    <row r="779" spans="1:14" x14ac:dyDescent="0.25">
      <c r="A779">
        <f>114.8132326*(0.3)</f>
        <v>34.443969780000003</v>
      </c>
      <c r="B779">
        <f>-8.83178712307692*(0.3)</f>
        <v>-2.6495361369230768</v>
      </c>
      <c r="C779">
        <f>-26.4953613692308*(0.3)</f>
        <v>-7.9486084107692312</v>
      </c>
      <c r="D779">
        <f>-8.83178712307692*(0.3)</f>
        <v>-2.6495361369230768</v>
      </c>
      <c r="E779">
        <f>-8.83178712307692*(0.3)</f>
        <v>-2.6495361369230768</v>
      </c>
      <c r="F779">
        <f>-8.83178712307692*(0.3)</f>
        <v>-2.6495361369230768</v>
      </c>
      <c r="G779">
        <f>-5.29907227384615*(0.3)</f>
        <v>-1.589721682153846</v>
      </c>
      <c r="H779">
        <f>-8.83178712307692*(0.3)</f>
        <v>-2.6495361369230768</v>
      </c>
      <c r="I779">
        <f>-8.83178712307692*(0.3)</f>
        <v>-2.6495361369230768</v>
      </c>
      <c r="J779">
        <f>1.76635742461538*(0.3)</f>
        <v>0.52990722738461526</v>
      </c>
      <c r="K779">
        <f>-8.83178712307692*(0.3)</f>
        <v>-2.6495361369230768</v>
      </c>
      <c r="L779">
        <f>-4.32757569030769*(0.3)</f>
        <v>-1.2982727070923077</v>
      </c>
      <c r="M779">
        <f>-9.71496583538462*(0.3)</f>
        <v>-2.9144897506153846</v>
      </c>
      <c r="N779">
        <f>-8.83178712307692*(0.3)</f>
        <v>-2.6495361369230768</v>
      </c>
    </row>
    <row r="780" spans="1:14" x14ac:dyDescent="0.25">
      <c r="A780">
        <f>2156.132095*(0.3)</f>
        <v>646.8396285</v>
      </c>
      <c r="B780">
        <f>-165.856315*(0.3)</f>
        <v>-49.756894499999994</v>
      </c>
      <c r="C780">
        <f>-497.568945*(0.3)</f>
        <v>-149.27068349999999</v>
      </c>
      <c r="D780">
        <f>-165.856315*(0.3)</f>
        <v>-49.756894499999994</v>
      </c>
      <c r="E780">
        <f>-165.856315*(0.3)</f>
        <v>-49.756894499999994</v>
      </c>
      <c r="F780">
        <f>-165.856315*(0.3)</f>
        <v>-49.756894499999994</v>
      </c>
      <c r="G780">
        <f>-99.513789*(0.3)</f>
        <v>-29.854136699999994</v>
      </c>
      <c r="H780">
        <f>-165.856315*(0.3)</f>
        <v>-49.756894499999994</v>
      </c>
      <c r="I780">
        <f>-165.856315*(0.3)</f>
        <v>-49.756894499999994</v>
      </c>
      <c r="J780">
        <f>33.171263*(0.3)</f>
        <v>9.9513788999999964</v>
      </c>
      <c r="K780">
        <f>-165.856315*(0.3)</f>
        <v>-49.756894499999994</v>
      </c>
      <c r="L780">
        <f>-81.26959435*(0.3)</f>
        <v>-24.380878304999996</v>
      </c>
      <c r="M780">
        <f>-182.4419465*(0.3)</f>
        <v>-54.732583949999999</v>
      </c>
      <c r="N780">
        <f>-165.856315*(0.3)</f>
        <v>-49.756894499999994</v>
      </c>
    </row>
    <row r="781" spans="1:14" x14ac:dyDescent="0.25">
      <c r="A781">
        <f>126.0880721*(0.3)</f>
        <v>37.826421629999999</v>
      </c>
      <c r="B781">
        <f>-9.69908246923077*(0.3)</f>
        <v>-2.909724740769231</v>
      </c>
      <c r="C781">
        <f>-29.0972474076923*(0.3)</f>
        <v>-8.7291742223076927</v>
      </c>
      <c r="D781">
        <f>-9.69908246923077*(0.3)</f>
        <v>-2.909724740769231</v>
      </c>
      <c r="E781">
        <f>-9.69908246923077*(0.3)</f>
        <v>-2.909724740769231</v>
      </c>
      <c r="F781">
        <f>-9.69908246923077*(0.3)</f>
        <v>-2.909724740769231</v>
      </c>
      <c r="G781">
        <f>-5.81944948153846*(0.3)</f>
        <v>-1.7458348444615386</v>
      </c>
      <c r="H781">
        <f>-9.69908246923077*(0.3)</f>
        <v>-2.909724740769231</v>
      </c>
      <c r="I781">
        <f>-9.69908246923077*(0.3)</f>
        <v>-2.909724740769231</v>
      </c>
      <c r="J781">
        <f>1.93981649384615*(0.3)</f>
        <v>0.58194494815384612</v>
      </c>
      <c r="K781">
        <f>-9.69908246923077*(0.3)</f>
        <v>-2.909724740769231</v>
      </c>
      <c r="L781">
        <f>-4.75255040992308*(0.3)</f>
        <v>-1.425765122976923</v>
      </c>
      <c r="M781">
        <f>-10.6689907161538*(0.3)</f>
        <v>-3.2006972148461545</v>
      </c>
      <c r="N781">
        <f>-9.69908246923077*(0.3)</f>
        <v>-2.909724740769231</v>
      </c>
    </row>
    <row r="782" spans="1:14" x14ac:dyDescent="0.25">
      <c r="A782">
        <f>2448.934667*(0.3)</f>
        <v>734.68040009999993</v>
      </c>
      <c r="B782">
        <f>-188.379589769231*(0.3)</f>
        <v>-56.513876930769229</v>
      </c>
      <c r="C782">
        <f>-565.138769307692*(0.3)</f>
        <v>-169.5416307923077</v>
      </c>
      <c r="D782">
        <f>-188.379589769231*(0.3)</f>
        <v>-56.513876930769229</v>
      </c>
      <c r="E782">
        <f>-188.379589769231*(0.3)</f>
        <v>-56.513876930769229</v>
      </c>
      <c r="F782">
        <f>-188.379589769231*(0.3)</f>
        <v>-56.513876930769229</v>
      </c>
      <c r="G782">
        <f>-113.027753861538*(0.3)</f>
        <v>-33.908326158461534</v>
      </c>
      <c r="H782">
        <f>-188.379589769231*(0.3)</f>
        <v>-56.513876930769229</v>
      </c>
      <c r="I782">
        <f>-188.379589769231*(0.3)</f>
        <v>-56.513876930769229</v>
      </c>
      <c r="J782">
        <f>37.6759179538461*(0.3)</f>
        <v>11.302775386153844</v>
      </c>
      <c r="K782">
        <f>-188.379589769231*(0.3)</f>
        <v>-56.513876930769229</v>
      </c>
      <c r="L782">
        <f>-92.3059989869231*(0.3)</f>
        <v>-27.69179969607692</v>
      </c>
      <c r="M782">
        <f>-207.217548746154*(0.3)</f>
        <v>-62.165264623846156</v>
      </c>
      <c r="N782">
        <f>-188.379589769231*(0.3)</f>
        <v>-56.513876930769229</v>
      </c>
    </row>
    <row r="783" spans="1:14" x14ac:dyDescent="0.25">
      <c r="A783">
        <f>135.1487465*(0.3)</f>
        <v>40.544623949999995</v>
      </c>
      <c r="B783">
        <f>-10.3960574230769*(0.3)</f>
        <v>-3.1188172269230763</v>
      </c>
      <c r="C783">
        <f>-31.1881722692308*(0.3)</f>
        <v>-9.3564516807692293</v>
      </c>
      <c r="D783">
        <f>-10.3960574230769*(0.3)</f>
        <v>-3.1188172269230763</v>
      </c>
      <c r="E783">
        <f>-10.3960574230769*(0.3)</f>
        <v>-3.1188172269230763</v>
      </c>
      <c r="F783">
        <f>-10.3960574230769*(0.3)</f>
        <v>-3.1188172269230763</v>
      </c>
      <c r="G783">
        <f>-6.23763445384615*(0.3)</f>
        <v>-1.8712903361538458</v>
      </c>
      <c r="H783">
        <f>-10.3960574230769*(0.3)</f>
        <v>-3.1188172269230763</v>
      </c>
      <c r="I783">
        <f>-10.3960574230769*(0.3)</f>
        <v>-3.1188172269230763</v>
      </c>
      <c r="J783">
        <f>2.07921148461538*(0.3)</f>
        <v>0.62376344538461514</v>
      </c>
      <c r="K783">
        <f>-10.3960574230769*(0.3)</f>
        <v>-3.1188172269230763</v>
      </c>
      <c r="L783">
        <f>-5.09406813730769*(0.3)</f>
        <v>-1.5282204411923075</v>
      </c>
      <c r="M783">
        <f>-11.4356631653846*(0.3)</f>
        <v>-3.4306989496153841</v>
      </c>
      <c r="N783">
        <f>-10.3960574230769*(0.3)</f>
        <v>-3.1188172269230763</v>
      </c>
    </row>
    <row r="784" spans="1:14" x14ac:dyDescent="0.25">
      <c r="A784">
        <f>2743.691183*(0.3)</f>
        <v>823.1073548999999</v>
      </c>
      <c r="B784">
        <f>-211.053167923077*(0.3)</f>
        <v>-63.315950376923077</v>
      </c>
      <c r="C784">
        <f>-633.159503769231*(0.3)</f>
        <v>-189.94785113076924</v>
      </c>
      <c r="D784">
        <f>-211.053167923077*(0.3)</f>
        <v>-63.315950376923077</v>
      </c>
      <c r="E784">
        <f>-211.053167923077*(0.3)</f>
        <v>-63.315950376923077</v>
      </c>
      <c r="F784">
        <f>-211.053167923077*(0.3)</f>
        <v>-63.315950376923077</v>
      </c>
      <c r="G784">
        <f>-126.631900753846*(0.3)</f>
        <v>-37.989570226153845</v>
      </c>
      <c r="H784">
        <f>-211.053167923077*(0.3)</f>
        <v>-63.315950376923077</v>
      </c>
      <c r="I784">
        <f>-211.053167923077*(0.3)</f>
        <v>-63.315950376923077</v>
      </c>
      <c r="J784">
        <f>42.2106335846154*(0.3)</f>
        <v>12.663190075384611</v>
      </c>
      <c r="K784">
        <f>-211.053167923077*(0.3)</f>
        <v>-63.315950376923077</v>
      </c>
      <c r="L784">
        <f>-103.416052282308*(0.3)</f>
        <v>-31.024815684692307</v>
      </c>
      <c r="M784">
        <f>-232.158484715385*(0.3)</f>
        <v>-69.647545414615394</v>
      </c>
      <c r="N784">
        <f>-211.053167923077*(0.3)</f>
        <v>-63.315950376923077</v>
      </c>
    </row>
    <row r="785" spans="1:14" x14ac:dyDescent="0.25">
      <c r="A785">
        <f>-56.96087342*(0.3)</f>
        <v>-17.088262025999999</v>
      </c>
      <c r="B785">
        <f>4.38160564769231*(0.3)</f>
        <v>1.3144816943076922</v>
      </c>
      <c r="C785">
        <f>13.1448169430769*(0.3)</f>
        <v>3.9434450829230765</v>
      </c>
      <c r="D785">
        <f>4.38160564769231*(0.3)</f>
        <v>1.3144816943076922</v>
      </c>
      <c r="E785">
        <f>4.38160564769231*(0.3)</f>
        <v>1.3144816943076922</v>
      </c>
      <c r="F785">
        <f>4.38160564769231*(0.3)</f>
        <v>1.3144816943076922</v>
      </c>
      <c r="G785">
        <f>2.62896338861538*(0.3)</f>
        <v>0.78868901658461532</v>
      </c>
      <c r="H785">
        <f>4.38160564769231*(0.3)</f>
        <v>1.3144816943076922</v>
      </c>
      <c r="I785">
        <f>4.38160564769231*(0.3)</f>
        <v>1.3144816943076922</v>
      </c>
      <c r="J785">
        <f>-0.876321129538461*(0.3)</f>
        <v>-0.2628963388615384</v>
      </c>
      <c r="K785">
        <f>4.38160564769231*(0.3)</f>
        <v>1.3144816943076922</v>
      </c>
      <c r="L785">
        <f>2.14698676736923*(0.3)</f>
        <v>0.64409603021076911</v>
      </c>
      <c r="M785">
        <f>4.81976621246154*(0.3)</f>
        <v>1.4459298637384614</v>
      </c>
      <c r="N785">
        <f>4.38160564769231*(0.3)</f>
        <v>1.3144816943076922</v>
      </c>
    </row>
    <row r="786" spans="1:14" x14ac:dyDescent="0.25">
      <c r="A786">
        <f>-59.86802068*(0.3)</f>
        <v>-17.960406203999998</v>
      </c>
      <c r="B786">
        <f>4.60523236*(0.3)</f>
        <v>1.381569708</v>
      </c>
      <c r="C786">
        <f>13.81569708*(0.3)</f>
        <v>4.1447091240000002</v>
      </c>
      <c r="D786">
        <f>4.60523236*(0.3)</f>
        <v>1.381569708</v>
      </c>
      <c r="E786">
        <f>4.60523236*(0.3)</f>
        <v>1.381569708</v>
      </c>
      <c r="F786">
        <f>4.60523236*(0.3)</f>
        <v>1.381569708</v>
      </c>
      <c r="G786">
        <f>2.763139416*(0.3)</f>
        <v>0.8289418248</v>
      </c>
      <c r="H786">
        <f>4.60523236*(0.3)</f>
        <v>1.381569708</v>
      </c>
      <c r="I786">
        <f>4.60523236*(0.3)</f>
        <v>1.381569708</v>
      </c>
      <c r="J786">
        <f>-0.921046472*(0.3)</f>
        <v>-0.27631394159999995</v>
      </c>
      <c r="K786">
        <f>4.60523236*(0.3)</f>
        <v>1.381569708</v>
      </c>
      <c r="L786">
        <f>2.2565638564*(0.3)</f>
        <v>0.67696915692000004</v>
      </c>
      <c r="M786">
        <f>5.065755596*(0.3)</f>
        <v>1.5197266788000001</v>
      </c>
      <c r="N786">
        <f>4.60523236*(0.3)</f>
        <v>1.381569708</v>
      </c>
    </row>
    <row r="787" spans="1:14" x14ac:dyDescent="0.25">
      <c r="A787">
        <f>-94.39950887*(0.3)</f>
        <v>-28.319852661000002</v>
      </c>
      <c r="B787">
        <f>7.26150068230769*(0.3)</f>
        <v>2.1784502046923078</v>
      </c>
      <c r="C787">
        <f>21.7845020469231*(0.3)</f>
        <v>6.5353506140769237</v>
      </c>
      <c r="D787">
        <f>7.26150068230769*(0.3)</f>
        <v>2.1784502046923078</v>
      </c>
      <c r="E787">
        <f>7.26150068230769*(0.3)</f>
        <v>2.1784502046923078</v>
      </c>
      <c r="F787">
        <f>7.26150068230769*(0.3)</f>
        <v>2.1784502046923078</v>
      </c>
      <c r="G787">
        <f>4.35690040938462*(0.3)</f>
        <v>1.3070701228153847</v>
      </c>
      <c r="H787">
        <f>7.26150068230769*(0.3)</f>
        <v>2.1784502046923078</v>
      </c>
      <c r="I787">
        <f>7.26150068230769*(0.3)</f>
        <v>2.1784502046923078</v>
      </c>
      <c r="J787">
        <f>-1.45230013646154*(0.3)</f>
        <v>-0.43569004093846148</v>
      </c>
      <c r="K787">
        <f>7.26150068230769*(0.3)</f>
        <v>2.1784502046923078</v>
      </c>
      <c r="L787">
        <f>3.55813533433077*(0.3)</f>
        <v>1.0674406002992307</v>
      </c>
      <c r="M787">
        <f>7.98765075053846*(0.3)</f>
        <v>2.3962952251615386</v>
      </c>
      <c r="N787">
        <f>7.26150068230769*(0.3)</f>
        <v>2.1784502046923078</v>
      </c>
    </row>
    <row r="788" spans="1:14" x14ac:dyDescent="0.25">
      <c r="A788">
        <f>-80.44020993*(0.3)</f>
        <v>-24.132062978999997</v>
      </c>
      <c r="B788">
        <f>6.18770845615385*(0.3)</f>
        <v>1.8563125368461537</v>
      </c>
      <c r="C788">
        <f>18.5631253684615*(0.3)</f>
        <v>5.5689376105384616</v>
      </c>
      <c r="D788">
        <f>6.18770845615385*(0.3)</f>
        <v>1.8563125368461537</v>
      </c>
      <c r="E788">
        <f>6.18770845615385*(0.3)</f>
        <v>1.8563125368461537</v>
      </c>
      <c r="F788">
        <f>6.18770845615385*(0.3)</f>
        <v>1.8563125368461537</v>
      </c>
      <c r="G788">
        <f>3.71262507369231*(0.3)</f>
        <v>1.1137875221076923</v>
      </c>
      <c r="H788">
        <f>6.18770845615385*(0.3)</f>
        <v>1.8563125368461537</v>
      </c>
      <c r="I788">
        <f>6.18770845615385*(0.3)</f>
        <v>1.8563125368461537</v>
      </c>
      <c r="J788">
        <f>-1.23754169123077*(0.3)</f>
        <v>-0.37126250736923067</v>
      </c>
      <c r="K788">
        <f>6.18770845615385*(0.3)</f>
        <v>1.8563125368461537</v>
      </c>
      <c r="L788">
        <f>3.03197714351538*(0.3)</f>
        <v>0.90959314305461525</v>
      </c>
      <c r="M788">
        <f>6.80647930176923*(0.3)</f>
        <v>2.0419437905307691</v>
      </c>
      <c r="N788">
        <f>6.18770845615385*(0.3)</f>
        <v>1.8563125368461537</v>
      </c>
    </row>
    <row r="789" spans="1:14" x14ac:dyDescent="0.25">
      <c r="A789">
        <f>-139.5843445*(0.3)</f>
        <v>-41.875303349999996</v>
      </c>
      <c r="B789">
        <f>10.7372572692308*(0.3)</f>
        <v>3.2211771807692307</v>
      </c>
      <c r="C789">
        <f>32.2117718076923*(0.3)</f>
        <v>9.6635315423076928</v>
      </c>
      <c r="D789">
        <f>10.7372572692308*(0.3)</f>
        <v>3.2211771807692307</v>
      </c>
      <c r="E789">
        <f>10.7372572692308*(0.3)</f>
        <v>3.2211771807692307</v>
      </c>
      <c r="F789">
        <f>10.7372572692308*(0.3)</f>
        <v>3.2211771807692307</v>
      </c>
      <c r="G789">
        <f>6.44235436153846*(0.3)</f>
        <v>1.9327063084615383</v>
      </c>
      <c r="H789">
        <f>10.7372572692308*(0.3)</f>
        <v>3.2211771807692307</v>
      </c>
      <c r="I789">
        <f>10.7372572692308*(0.3)</f>
        <v>3.2211771807692307</v>
      </c>
      <c r="J789">
        <f>-2.14745145384615*(0.3)</f>
        <v>-0.64423543615384593</v>
      </c>
      <c r="K789">
        <f>10.7372572692308*(0.3)</f>
        <v>3.2211771807692307</v>
      </c>
      <c r="L789">
        <f>5.26125606192308*(0.3)</f>
        <v>1.5783768185769229</v>
      </c>
      <c r="M789">
        <f>11.8109829961538*(0.3)</f>
        <v>3.5432948988461539</v>
      </c>
      <c r="N789">
        <f>10.7372572692308*(0.3)</f>
        <v>3.2211771807692307</v>
      </c>
    </row>
    <row r="790" spans="1:14" x14ac:dyDescent="0.25">
      <c r="A790">
        <f>-98.64458903*(0.3)</f>
        <v>-29.593376709000001</v>
      </c>
      <c r="B790">
        <f>7.58804531*(0.3)</f>
        <v>2.276413593</v>
      </c>
      <c r="C790">
        <f>22.76413593*(0.3)</f>
        <v>6.829240779</v>
      </c>
      <c r="D790">
        <f>7.58804531*(0.3)</f>
        <v>2.276413593</v>
      </c>
      <c r="E790">
        <f>7.58804531*(0.3)</f>
        <v>2.276413593</v>
      </c>
      <c r="F790">
        <f>7.58804531*(0.3)</f>
        <v>2.276413593</v>
      </c>
      <c r="G790">
        <f>4.552827186*(0.3)</f>
        <v>1.3658481558</v>
      </c>
      <c r="H790">
        <f>7.58804531*(0.3)</f>
        <v>2.276413593</v>
      </c>
      <c r="I790">
        <f>7.58804531*(0.3)</f>
        <v>2.276413593</v>
      </c>
      <c r="J790">
        <f>-1.517609062*(0.3)</f>
        <v>-0.45528271859999986</v>
      </c>
      <c r="K790">
        <f>7.58804531*(0.3)</f>
        <v>2.276413593</v>
      </c>
      <c r="L790">
        <f>3.7181422019*(0.3)</f>
        <v>1.1154426605700001</v>
      </c>
      <c r="M790">
        <f>8.346849841*(0.3)</f>
        <v>2.5040549523000002</v>
      </c>
      <c r="N790">
        <f>7.58804531*(0.3)</f>
        <v>2.276413593</v>
      </c>
    </row>
    <row r="791" spans="1:14" x14ac:dyDescent="0.25">
      <c r="A791">
        <f>-201.845637*(0.3)</f>
        <v>-60.553691100000002</v>
      </c>
      <c r="B791">
        <f>15.5265874615385*(0.3)</f>
        <v>4.6579762384615382</v>
      </c>
      <c r="C791">
        <f>46.5797623846154*(0.3)</f>
        <v>13.973928715384615</v>
      </c>
      <c r="D791">
        <f>15.5265874615385*(0.3)</f>
        <v>4.6579762384615382</v>
      </c>
      <c r="E791">
        <f>15.5265874615385*(0.3)</f>
        <v>4.6579762384615382</v>
      </c>
      <c r="F791">
        <f>15.5265874615385*(0.3)</f>
        <v>4.6579762384615382</v>
      </c>
      <c r="G791">
        <f>9.31595247692308*(0.3)</f>
        <v>2.7947857430769227</v>
      </c>
      <c r="H791">
        <f>15.5265874615385*(0.3)</f>
        <v>4.6579762384615382</v>
      </c>
      <c r="I791">
        <f>15.5265874615385*(0.3)</f>
        <v>4.6579762384615382</v>
      </c>
      <c r="J791">
        <f>-3.10531749230769*(0.3)</f>
        <v>-0.9315952476923075</v>
      </c>
      <c r="K791">
        <f>15.5265874615385*(0.3)</f>
        <v>4.6579762384615382</v>
      </c>
      <c r="L791">
        <f>7.60802785615385*(0.3)</f>
        <v>2.2824083568461537</v>
      </c>
      <c r="M791">
        <f>17.0792462076923*(0.3)</f>
        <v>5.1237738623076927</v>
      </c>
      <c r="N791">
        <f>15.5265874615385*(0.3)</f>
        <v>4.6579762384615382</v>
      </c>
    </row>
    <row r="792" spans="1:14" x14ac:dyDescent="0.25">
      <c r="A792">
        <f>-115.84809*(0.3)</f>
        <v>-34.754427</v>
      </c>
      <c r="B792">
        <f>8.91139153846154*(0.3)</f>
        <v>2.6734174615384614</v>
      </c>
      <c r="C792">
        <f>26.7341746153846*(0.3)</f>
        <v>8.0202523846153841</v>
      </c>
      <c r="D792">
        <f>8.91139153846154*(0.3)</f>
        <v>2.6734174615384614</v>
      </c>
      <c r="E792">
        <f>8.91139153846154*(0.3)</f>
        <v>2.6734174615384614</v>
      </c>
      <c r="F792">
        <f>8.91139153846154*(0.3)</f>
        <v>2.6734174615384614</v>
      </c>
      <c r="G792">
        <f>5.34683492307692*(0.3)</f>
        <v>1.6040504769230768</v>
      </c>
      <c r="H792">
        <f>8.91139153846154*(0.3)</f>
        <v>2.6734174615384614</v>
      </c>
      <c r="I792">
        <f>8.91139153846154*(0.3)</f>
        <v>2.6734174615384614</v>
      </c>
      <c r="J792">
        <f>-1.78227830769231*(0.3)</f>
        <v>-0.53468349230769219</v>
      </c>
      <c r="K792">
        <f>8.91139153846154*(0.3)</f>
        <v>2.6734174615384614</v>
      </c>
      <c r="L792">
        <f>4.36658185384615*(0.3)</f>
        <v>1.3099745561538461</v>
      </c>
      <c r="M792">
        <f>9.80253069230769*(0.3)</f>
        <v>2.9407592076923077</v>
      </c>
      <c r="N792">
        <f>8.91139153846154*(0.3)</f>
        <v>2.6734174615384614</v>
      </c>
    </row>
    <row r="793" spans="1:14" x14ac:dyDescent="0.25">
      <c r="A793">
        <f>-276.1173279*(0.3)</f>
        <v>-82.835198370000001</v>
      </c>
      <c r="B793">
        <f>21.2397944538462*(0.3)</f>
        <v>6.3719383361538462</v>
      </c>
      <c r="C793">
        <f>63.7193833615385*(0.3)</f>
        <v>19.115815008461539</v>
      </c>
      <c r="D793">
        <f>21.2397944538462*(0.3)</f>
        <v>6.3719383361538462</v>
      </c>
      <c r="E793">
        <f>21.2397944538462*(0.3)</f>
        <v>6.3719383361538462</v>
      </c>
      <c r="F793">
        <f>21.2397944538462*(0.3)</f>
        <v>6.3719383361538462</v>
      </c>
      <c r="G793">
        <f>12.7438766723077*(0.3)</f>
        <v>3.8231630016923077</v>
      </c>
      <c r="H793">
        <f>21.2397944538462*(0.3)</f>
        <v>6.3719383361538462</v>
      </c>
      <c r="I793">
        <f>21.2397944538462*(0.3)</f>
        <v>6.3719383361538462</v>
      </c>
      <c r="J793">
        <f>-4.24795889076923*(0.3)</f>
        <v>-1.274387667230769</v>
      </c>
      <c r="K793">
        <f>21.2397944538462*(0.3)</f>
        <v>6.3719383361538462</v>
      </c>
      <c r="L793">
        <f>10.4074992823846*(0.3)</f>
        <v>3.1222497847153847</v>
      </c>
      <c r="M793">
        <f>23.3637738992308*(0.3)</f>
        <v>7.0091321697692317</v>
      </c>
      <c r="N793">
        <f>21.2397944538462*(0.3)</f>
        <v>6.3719383361538462</v>
      </c>
    </row>
    <row r="794" spans="1:14" x14ac:dyDescent="0.25">
      <c r="A794">
        <f>-137.7792546*(0.3)</f>
        <v>-41.333776379999996</v>
      </c>
      <c r="B794">
        <f>10.5984042*(0.3)</f>
        <v>3.17952126</v>
      </c>
      <c r="C794">
        <f>31.7952126*(0.3)</f>
        <v>9.5385637800000005</v>
      </c>
      <c r="D794">
        <f>10.5984042*(0.3)</f>
        <v>3.17952126</v>
      </c>
      <c r="E794">
        <f>10.5984042*(0.3)</f>
        <v>3.17952126</v>
      </c>
      <c r="F794">
        <f>10.5984042*(0.3)</f>
        <v>3.17952126</v>
      </c>
      <c r="G794">
        <f>6.35904252*(0.3)</f>
        <v>1.907712756</v>
      </c>
      <c r="H794">
        <f>10.5984042*(0.3)</f>
        <v>3.17952126</v>
      </c>
      <c r="I794">
        <f>10.5984042*(0.3)</f>
        <v>3.17952126</v>
      </c>
      <c r="J794">
        <f>-2.11968084*(0.3)</f>
        <v>-0.63590425199999989</v>
      </c>
      <c r="K794">
        <f>10.5984042*(0.3)</f>
        <v>3.17952126</v>
      </c>
      <c r="L794">
        <f>5.193218058*(0.3)</f>
        <v>1.5579654173999999</v>
      </c>
      <c r="M794">
        <f>11.65824462*(0.3)</f>
        <v>3.4974733860000002</v>
      </c>
      <c r="N794">
        <f>10.5984042*(0.3)</f>
        <v>3.17952126</v>
      </c>
    </row>
    <row r="795" spans="1:14" x14ac:dyDescent="0.25">
      <c r="A795">
        <f>-373.7671872*(0.3)</f>
        <v>-112.13015616</v>
      </c>
      <c r="B795">
        <f>28.7513220923077*(0.3)</f>
        <v>8.6253966276923091</v>
      </c>
      <c r="C795">
        <f>86.2539662769231*(0.3)</f>
        <v>25.876189883076922</v>
      </c>
      <c r="D795">
        <f>28.7513220923077*(0.3)</f>
        <v>8.6253966276923091</v>
      </c>
      <c r="E795">
        <f>28.7513220923077*(0.3)</f>
        <v>8.6253966276923091</v>
      </c>
      <c r="F795">
        <f>28.7513220923077*(0.3)</f>
        <v>8.6253966276923091</v>
      </c>
      <c r="G795">
        <f>17.2507932553846*(0.3)</f>
        <v>5.1752379766153851</v>
      </c>
      <c r="H795">
        <f>28.7513220923077*(0.3)</f>
        <v>8.6253966276923091</v>
      </c>
      <c r="I795">
        <f>28.7513220923077*(0.3)</f>
        <v>8.6253966276923091</v>
      </c>
      <c r="J795">
        <f>-5.75026441846154*(0.3)</f>
        <v>-1.7250793255384613</v>
      </c>
      <c r="K795">
        <f>28.7513220923077*(0.3)</f>
        <v>8.6253966276923091</v>
      </c>
      <c r="L795">
        <f>14.0881478252308*(0.3)</f>
        <v>4.226444347569231</v>
      </c>
      <c r="M795">
        <f>31.6264543015385*(0.3)</f>
        <v>9.4879362904615405</v>
      </c>
      <c r="N795">
        <f>28.7513220923077*(0.3)</f>
        <v>8.6253966276923091</v>
      </c>
    </row>
    <row r="796" spans="1:14" x14ac:dyDescent="0.25">
      <c r="A796">
        <f>-154.2406685*(0.3)</f>
        <v>-46.272200550000001</v>
      </c>
      <c r="B796">
        <f>11.8646668076923*(0.3)</f>
        <v>3.5594000423076921</v>
      </c>
      <c r="C796">
        <f>35.5940004230769*(0.3)</f>
        <v>10.678200126923075</v>
      </c>
      <c r="D796">
        <f>11.8646668076923*(0.3)</f>
        <v>3.5594000423076921</v>
      </c>
      <c r="E796">
        <f>11.8646668076923*(0.3)</f>
        <v>3.5594000423076921</v>
      </c>
      <c r="F796">
        <f>11.8646668076923*(0.3)</f>
        <v>3.5594000423076921</v>
      </c>
      <c r="G796">
        <f>7.11880008461538*(0.3)</f>
        <v>2.1356400253846153</v>
      </c>
      <c r="H796">
        <f>11.8646668076923*(0.3)</f>
        <v>3.5594000423076921</v>
      </c>
      <c r="I796">
        <f>11.8646668076923*(0.3)</f>
        <v>3.5594000423076921</v>
      </c>
      <c r="J796">
        <f>-2.37293336153846*(0.3)</f>
        <v>-0.71188000846153832</v>
      </c>
      <c r="K796">
        <f>11.8646668076923*(0.3)</f>
        <v>3.5594000423076921</v>
      </c>
      <c r="L796">
        <f>5.81368673576923*(0.3)</f>
        <v>1.744106020730769</v>
      </c>
      <c r="M796">
        <f>13.0511334884615*(0.3)</f>
        <v>3.9153400465384616</v>
      </c>
      <c r="N796">
        <f>11.8646668076923*(0.3)</f>
        <v>3.5594000423076921</v>
      </c>
    </row>
    <row r="797" spans="1:14" x14ac:dyDescent="0.25">
      <c r="A797">
        <f>-514.0086027*(0.3)</f>
        <v>-154.20258081</v>
      </c>
      <c r="B797">
        <f>39.5391232846154*(0.3)</f>
        <v>11.861736985384615</v>
      </c>
      <c r="C797">
        <f>118.617369853846*(0.3)</f>
        <v>35.585210956153844</v>
      </c>
      <c r="D797">
        <f>39.5391232846154*(0.3)</f>
        <v>11.861736985384615</v>
      </c>
      <c r="E797">
        <f>39.5391232846154*(0.3)</f>
        <v>11.861736985384615</v>
      </c>
      <c r="F797">
        <f>39.5391232846154*(0.3)</f>
        <v>11.861736985384615</v>
      </c>
      <c r="G797">
        <f>23.7234739707692*(0.3)</f>
        <v>7.1170421912307686</v>
      </c>
      <c r="H797">
        <f>39.5391232846154*(0.3)</f>
        <v>11.861736985384615</v>
      </c>
      <c r="I797">
        <f>39.5391232846154*(0.3)</f>
        <v>11.861736985384615</v>
      </c>
      <c r="J797">
        <f>-7.90782465692308*(0.3)</f>
        <v>-2.3723473970769224</v>
      </c>
      <c r="K797">
        <f>39.5391232846154*(0.3)</f>
        <v>11.861736985384615</v>
      </c>
      <c r="L797">
        <f>19.3741704094615*(0.3)</f>
        <v>5.812251122838461</v>
      </c>
      <c r="M797">
        <f>43.4930356130769*(0.3)</f>
        <v>13.047910683923078</v>
      </c>
      <c r="N797">
        <f>39.5391232846154*(0.3)</f>
        <v>11.861736985384615</v>
      </c>
    </row>
    <row r="798" spans="1:14" x14ac:dyDescent="0.25">
      <c r="A798">
        <f>-175.9811875*(0.3)</f>
        <v>-52.79435625</v>
      </c>
      <c r="B798">
        <f>13.5370144230769*(0.3)</f>
        <v>4.0611043269230773</v>
      </c>
      <c r="C798">
        <f>40.6110432692308*(0.3)</f>
        <v>12.18331298076923</v>
      </c>
      <c r="D798">
        <f>13.5370144230769*(0.3)</f>
        <v>4.0611043269230773</v>
      </c>
      <c r="E798">
        <f>13.5370144230769*(0.3)</f>
        <v>4.0611043269230773</v>
      </c>
      <c r="F798">
        <f>13.5370144230769*(0.3)</f>
        <v>4.0611043269230773</v>
      </c>
      <c r="G798">
        <f>8.12220865384615*(0.3)</f>
        <v>2.4366625961538464</v>
      </c>
      <c r="H798">
        <f>13.5370144230769*(0.3)</f>
        <v>4.0611043269230773</v>
      </c>
      <c r="I798">
        <f>13.5370144230769*(0.3)</f>
        <v>4.0611043269230773</v>
      </c>
      <c r="J798">
        <f>-2.70740288461538*(0.3)</f>
        <v>-0.81222086538461524</v>
      </c>
      <c r="K798">
        <f>13.5370144230769*(0.3)</f>
        <v>4.0611043269230773</v>
      </c>
      <c r="L798">
        <f>6.63313706730769*(0.3)</f>
        <v>1.9899411201923076</v>
      </c>
      <c r="M798">
        <f>14.8907158653846*(0.3)</f>
        <v>4.4672147596153851</v>
      </c>
      <c r="N798">
        <f>13.5370144230769*(0.3)</f>
        <v>4.0611043269230773</v>
      </c>
    </row>
    <row r="799" spans="1:14" x14ac:dyDescent="0.25">
      <c r="A799">
        <f>-723.6716657*(0.3)</f>
        <v>-217.10149970999998</v>
      </c>
      <c r="B799">
        <f>55.6670512076923*(0.3)</f>
        <v>16.700115362307692</v>
      </c>
      <c r="C799">
        <f>167.001153623077*(0.3)</f>
        <v>50.100346086923068</v>
      </c>
      <c r="D799">
        <f>55.6670512076923*(0.3)</f>
        <v>16.700115362307692</v>
      </c>
      <c r="E799">
        <f>55.6670512076923*(0.3)</f>
        <v>16.700115362307692</v>
      </c>
      <c r="F799">
        <f>55.6670512076923*(0.3)</f>
        <v>16.700115362307692</v>
      </c>
      <c r="G799">
        <f>33.4002307246154*(0.3)</f>
        <v>10.020069217384615</v>
      </c>
      <c r="H799">
        <f>55.6670512076923*(0.3)</f>
        <v>16.700115362307692</v>
      </c>
      <c r="I799">
        <f>55.6670512076923*(0.3)</f>
        <v>16.700115362307692</v>
      </c>
      <c r="J799">
        <f>-11.1334102415385*(0.3)</f>
        <v>-3.3400230724615372</v>
      </c>
      <c r="K799">
        <f>55.6670512076923*(0.3)</f>
        <v>16.700115362307692</v>
      </c>
      <c r="L799">
        <f>27.2768550917692*(0.3)</f>
        <v>8.1830565275307681</v>
      </c>
      <c r="M799">
        <f>61.2337563284615*(0.3)</f>
        <v>18.370126898538462</v>
      </c>
      <c r="N799">
        <f>55.6670512076923*(0.3)</f>
        <v>16.700115362307692</v>
      </c>
    </row>
    <row r="800" spans="1:14" x14ac:dyDescent="0.25">
      <c r="A800">
        <f>-199.0863491*(0.3)</f>
        <v>-59.725904729999996</v>
      </c>
      <c r="B800">
        <f>15.3143345461538*(0.3)</f>
        <v>4.5943003638461537</v>
      </c>
      <c r="C800">
        <f>45.9430036384615*(0.3)</f>
        <v>13.782901091538461</v>
      </c>
      <c r="D800">
        <f>15.3143345461538*(0.3)</f>
        <v>4.5943003638461537</v>
      </c>
      <c r="E800">
        <f>15.3143345461538*(0.3)</f>
        <v>4.5943003638461537</v>
      </c>
      <c r="F800">
        <f>15.3143345461538*(0.3)</f>
        <v>4.5943003638461537</v>
      </c>
      <c r="G800">
        <f>9.18860072769231*(0.3)</f>
        <v>2.756580218307692</v>
      </c>
      <c r="H800">
        <f>15.3143345461538*(0.3)</f>
        <v>4.5943003638461537</v>
      </c>
      <c r="I800">
        <f>15.3143345461538*(0.3)</f>
        <v>4.5943003638461537</v>
      </c>
      <c r="J800">
        <f>-3.06286690923077*(0.3)</f>
        <v>-0.91886007276923054</v>
      </c>
      <c r="K800">
        <f>15.3143345461538*(0.3)</f>
        <v>4.5943003638461537</v>
      </c>
      <c r="L800">
        <f>7.50402392761538*(0.3)</f>
        <v>2.2512071782846155</v>
      </c>
      <c r="M800">
        <f>16.8457680007692*(0.3)</f>
        <v>5.0537304002307701</v>
      </c>
      <c r="N800">
        <f>15.3143345461538*(0.3)</f>
        <v>4.5943003638461537</v>
      </c>
    </row>
    <row r="801" spans="1:14" x14ac:dyDescent="0.25">
      <c r="A801">
        <f>-25.16190311*(0.3)</f>
        <v>-7.5485709329999997</v>
      </c>
      <c r="B801">
        <f>1.93553100846154*(0.3)</f>
        <v>0.58065930253846154</v>
      </c>
      <c r="C801">
        <f>5.80659302538462*(0.3)</f>
        <v>1.7419779076153847</v>
      </c>
      <c r="D801">
        <f>1.93553100846154*(0.3)</f>
        <v>0.58065930253846154</v>
      </c>
      <c r="E801">
        <f>1.93553100846154*(0.3)</f>
        <v>0.58065930253846154</v>
      </c>
      <c r="F801">
        <f>1.93553100846154*(0.3)</f>
        <v>0.58065930253846154</v>
      </c>
      <c r="G801">
        <f>1.16131860507692*(0.3)</f>
        <v>0.34839558152307692</v>
      </c>
      <c r="H801">
        <f>1.93553100846154*(0.3)</f>
        <v>0.58065930253846154</v>
      </c>
      <c r="I801">
        <f>1.93553100846154*(0.3)</f>
        <v>0.58065930253846154</v>
      </c>
      <c r="J801">
        <f>-0.387106201692308*(0.3)</f>
        <v>-0.11613186050769227</v>
      </c>
      <c r="K801">
        <f>1.93553100846154*(0.3)</f>
        <v>0.58065930253846154</v>
      </c>
      <c r="L801">
        <f>0.948410194146154*(0.3)</f>
        <v>0.28452305824384611</v>
      </c>
      <c r="M801">
        <f>2.12908410930769*(0.3)</f>
        <v>0.63872523279230775</v>
      </c>
      <c r="N801">
        <f>1.93553100846154*(0.3)</f>
        <v>0.58065930253846154</v>
      </c>
    </row>
    <row r="802" spans="1:14" x14ac:dyDescent="0.25">
      <c r="A802">
        <f>-111*(0.3)</f>
        <v>-33.299999999999997</v>
      </c>
      <c r="B802">
        <f>8.53846153846154*(0.3)</f>
        <v>2.5615384615384613</v>
      </c>
      <c r="C802">
        <f>25.6153846153846*(0.3)</f>
        <v>7.684615384615384</v>
      </c>
      <c r="D802">
        <f>8.53846153846154*(0.3)</f>
        <v>2.5615384615384613</v>
      </c>
      <c r="E802">
        <f>8.53846153846154*(0.3)</f>
        <v>2.5615384615384613</v>
      </c>
      <c r="F802">
        <f>8.53846153846154*(0.3)</f>
        <v>2.5615384615384613</v>
      </c>
      <c r="G802">
        <f>5.12307692307692*(0.3)</f>
        <v>1.5369230769230768</v>
      </c>
      <c r="H802">
        <f>8.53846153846154*(0.3)</f>
        <v>2.5615384615384613</v>
      </c>
      <c r="I802">
        <f>8.53846153846154*(0.3)</f>
        <v>2.5615384615384613</v>
      </c>
      <c r="J802">
        <f>-1.70769230769231*(0.3)</f>
        <v>-0.51230769230769213</v>
      </c>
      <c r="K802">
        <f>8.53846153846154*(0.3)</f>
        <v>2.5615384615384613</v>
      </c>
      <c r="L802">
        <f>4.18384615384615*(0.3)</f>
        <v>1.2551538461538461</v>
      </c>
      <c r="M802">
        <f>9.39230769230769*(0.3)</f>
        <v>2.8176923076923077</v>
      </c>
      <c r="N802">
        <f>8.53846153846154*(0.3)</f>
        <v>2.5615384615384613</v>
      </c>
    </row>
    <row r="803" spans="1:14" x14ac:dyDescent="0.25">
      <c r="A803">
        <f>-40.36710381*(0.3)</f>
        <v>-12.110131143</v>
      </c>
      <c r="B803">
        <f>3.10516183153846*(0.3)</f>
        <v>0.93154854946153853</v>
      </c>
      <c r="C803">
        <f>9.31548549461539*(0.3)</f>
        <v>2.7946456483846158</v>
      </c>
      <c r="D803">
        <f>3.10516183153846*(0.3)</f>
        <v>0.93154854946153853</v>
      </c>
      <c r="E803">
        <f>3.10516183153846*(0.3)</f>
        <v>0.93154854946153853</v>
      </c>
      <c r="F803">
        <f>3.10516183153846*(0.3)</f>
        <v>0.93154854946153853</v>
      </c>
      <c r="G803">
        <f>1.86309709892308*(0.3)</f>
        <v>0.5589291296769231</v>
      </c>
      <c r="H803">
        <f>3.10516183153846*(0.3)</f>
        <v>0.93154854946153853</v>
      </c>
      <c r="I803">
        <f>3.10516183153846*(0.3)</f>
        <v>0.93154854946153853</v>
      </c>
      <c r="J803">
        <f>-0.621032366307692*(0.3)</f>
        <v>-0.18630970989230766</v>
      </c>
      <c r="K803">
        <f>3.10516183153846*(0.3)</f>
        <v>0.93154854946153853</v>
      </c>
      <c r="L803">
        <f>1.52152929745385*(0.3)</f>
        <v>0.45645878923615391</v>
      </c>
      <c r="M803">
        <f>3.41567801469231*(0.3)</f>
        <v>1.0247034044076926</v>
      </c>
      <c r="N803">
        <f>3.10516183153846*(0.3)</f>
        <v>0.93154854946153853</v>
      </c>
    </row>
    <row r="804" spans="1:14" x14ac:dyDescent="0.25">
      <c r="A804">
        <f>-146.6594253*(0.3)</f>
        <v>-43.99782759</v>
      </c>
      <c r="B804">
        <f>11.2814942538462*(0.3)</f>
        <v>3.3844482761538464</v>
      </c>
      <c r="C804">
        <f>33.8444827615385*(0.3)</f>
        <v>10.15334482846154</v>
      </c>
      <c r="D804">
        <f>11.2814942538462*(0.3)</f>
        <v>3.3844482761538464</v>
      </c>
      <c r="E804">
        <f>11.2814942538462*(0.3)</f>
        <v>3.3844482761538464</v>
      </c>
      <c r="F804">
        <f>11.2814942538462*(0.3)</f>
        <v>3.3844482761538464</v>
      </c>
      <c r="G804">
        <f>6.76889655230769*(0.3)</f>
        <v>2.0306689656923078</v>
      </c>
      <c r="H804">
        <f>11.2814942538462*(0.3)</f>
        <v>3.3844482761538464</v>
      </c>
      <c r="I804">
        <f>11.2814942538462*(0.3)</f>
        <v>3.3844482761538464</v>
      </c>
      <c r="J804">
        <f>-2.25629885076923*(0.3)</f>
        <v>-0.67688965523076905</v>
      </c>
      <c r="K804">
        <f>11.2814942538462*(0.3)</f>
        <v>3.3844482761538464</v>
      </c>
      <c r="L804">
        <f>5.52793218438462*(0.3)</f>
        <v>1.6583796553153847</v>
      </c>
      <c r="M804">
        <f>12.4096436792308*(0.3)</f>
        <v>3.7228931037692314</v>
      </c>
      <c r="N804">
        <f>11.2814942538462*(0.3)</f>
        <v>3.3844482761538464</v>
      </c>
    </row>
    <row r="805" spans="1:14" x14ac:dyDescent="0.25">
      <c r="A805">
        <f>-55.63998753*(0.3)</f>
        <v>-16.691996259</v>
      </c>
      <c r="B805">
        <f>4.27999904076923*(0.3)</f>
        <v>1.2839997122307691</v>
      </c>
      <c r="C805">
        <f>12.8399971223077*(0.3)</f>
        <v>3.8519991366923079</v>
      </c>
      <c r="D805">
        <f>4.27999904076923*(0.3)</f>
        <v>1.2839997122307691</v>
      </c>
      <c r="E805">
        <f>4.27999904076923*(0.3)</f>
        <v>1.2839997122307691</v>
      </c>
      <c r="F805">
        <f>4.27999904076923*(0.3)</f>
        <v>1.2839997122307691</v>
      </c>
      <c r="G805">
        <f>2.56799942446154*(0.3)</f>
        <v>0.77039982733846146</v>
      </c>
      <c r="H805">
        <f>4.27999904076923*(0.3)</f>
        <v>1.2839997122307691</v>
      </c>
      <c r="I805">
        <f>4.27999904076923*(0.3)</f>
        <v>1.2839997122307691</v>
      </c>
      <c r="J805">
        <f>-0.855999808153846*(0.3)</f>
        <v>-0.25679994244615378</v>
      </c>
      <c r="K805">
        <f>4.27999904076923*(0.3)</f>
        <v>1.2839997122307691</v>
      </c>
      <c r="L805">
        <f>2.09719952997692*(0.3)</f>
        <v>0.62915985899307691</v>
      </c>
      <c r="M805">
        <f>4.70799894484615*(0.3)</f>
        <v>1.4123996834538461</v>
      </c>
      <c r="N805">
        <f>4.27999904076923*(0.3)</f>
        <v>1.2839997122307691</v>
      </c>
    </row>
    <row r="806" spans="1:14" x14ac:dyDescent="0.25">
      <c r="A806">
        <f>-180.5480938*(0.3)</f>
        <v>-54.164428139999998</v>
      </c>
      <c r="B806">
        <f>13.8883149076923*(0.3)</f>
        <v>4.1664944723076927</v>
      </c>
      <c r="C806">
        <f>41.6649447230769*(0.3)</f>
        <v>12.499483416923079</v>
      </c>
      <c r="D806">
        <f>13.8883149076923*(0.3)</f>
        <v>4.1664944723076927</v>
      </c>
      <c r="E806">
        <f>13.8883149076923*(0.3)</f>
        <v>4.1664944723076927</v>
      </c>
      <c r="F806">
        <f>13.8883149076923*(0.3)</f>
        <v>4.1664944723076927</v>
      </c>
      <c r="G806">
        <f>8.33298894461539*(0.3)</f>
        <v>2.4998966833846157</v>
      </c>
      <c r="H806">
        <f>13.8883149076923*(0.3)</f>
        <v>4.1664944723076927</v>
      </c>
      <c r="I806">
        <f>13.8883149076923*(0.3)</f>
        <v>4.1664944723076927</v>
      </c>
      <c r="J806">
        <f>-2.77766298153846*(0.3)</f>
        <v>-0.83329889446153826</v>
      </c>
      <c r="K806">
        <f>13.8883149076923*(0.3)</f>
        <v>4.1664944723076927</v>
      </c>
      <c r="L806">
        <f>6.80527430476923*(0.3)</f>
        <v>2.0415822914307693</v>
      </c>
      <c r="M806">
        <f>15.2771463984615*(0.3)</f>
        <v>4.583143919538462</v>
      </c>
      <c r="N806">
        <f>13.8883149076923*(0.3)</f>
        <v>4.1664944723076927</v>
      </c>
    </row>
    <row r="807" spans="1:14" x14ac:dyDescent="0.25">
      <c r="A807">
        <f>-73.4961506*(0.3)</f>
        <v>-22.048845179999997</v>
      </c>
      <c r="B807">
        <f>5.65355004615385*(0.3)</f>
        <v>1.6960650138461535</v>
      </c>
      <c r="C807">
        <f>16.9606501384615*(0.3)</f>
        <v>5.0881950415384605</v>
      </c>
      <c r="D807">
        <f>5.65355004615385*(0.3)</f>
        <v>1.6960650138461535</v>
      </c>
      <c r="E807">
        <f>5.65355004615385*(0.3)</f>
        <v>1.6960650138461535</v>
      </c>
      <c r="F807">
        <f>5.65355004615385*(0.3)</f>
        <v>1.6960650138461535</v>
      </c>
      <c r="G807">
        <f>3.39213002769231*(0.3)</f>
        <v>1.0176390083076921</v>
      </c>
      <c r="H807">
        <f>5.65355004615385*(0.3)</f>
        <v>1.6960650138461535</v>
      </c>
      <c r="I807">
        <f>5.65355004615385*(0.3)</f>
        <v>1.6960650138461535</v>
      </c>
      <c r="J807">
        <f>-1.13071000923077*(0.3)</f>
        <v>-0.33921300276923061</v>
      </c>
      <c r="K807">
        <f>5.65355004615385*(0.3)</f>
        <v>1.6960650138461535</v>
      </c>
      <c r="L807">
        <f>2.77023952261538*(0.3)</f>
        <v>0.83107185678461515</v>
      </c>
      <c r="M807">
        <f>6.21890505076923*(0.3)</f>
        <v>1.865671515230769</v>
      </c>
      <c r="N807">
        <f>5.65355004615385*(0.3)</f>
        <v>1.6960650138461535</v>
      </c>
    </row>
    <row r="808" spans="1:14" x14ac:dyDescent="0.25">
      <c r="A808">
        <f>-220.2806529*(0.3)</f>
        <v>-66.084195870000002</v>
      </c>
      <c r="B808">
        <f>16.9446656076923*(0.3)</f>
        <v>5.0833996823076921</v>
      </c>
      <c r="C808">
        <f>50.8339968230769*(0.3)</f>
        <v>15.250199046923075</v>
      </c>
      <c r="D808">
        <f>16.9446656076923*(0.3)</f>
        <v>5.0833996823076921</v>
      </c>
      <c r="E808">
        <f>16.9446656076923*(0.3)</f>
        <v>5.0833996823076921</v>
      </c>
      <c r="F808">
        <f>16.9446656076923*(0.3)</f>
        <v>5.0833996823076921</v>
      </c>
      <c r="G808">
        <f>10.1667993646154*(0.3)</f>
        <v>3.0500398093846153</v>
      </c>
      <c r="H808">
        <f>16.9446656076923*(0.3)</f>
        <v>5.0833996823076921</v>
      </c>
      <c r="I808">
        <f>16.9446656076923*(0.3)</f>
        <v>5.0833996823076921</v>
      </c>
      <c r="J808">
        <f>-3.38893312153846*(0.3)</f>
        <v>-1.0166799364615382</v>
      </c>
      <c r="K808">
        <f>16.9446656076923*(0.3)</f>
        <v>5.0833996823076921</v>
      </c>
      <c r="L808">
        <f>8.30288614776923*(0.3)</f>
        <v>2.4908658443307692</v>
      </c>
      <c r="M808">
        <f>18.6391321684615*(0.3)</f>
        <v>5.5917396505384618</v>
      </c>
      <c r="N808">
        <f>16.9446656076923*(0.3)</f>
        <v>5.0833996823076921</v>
      </c>
    </row>
    <row r="809" spans="1:14" x14ac:dyDescent="0.25">
      <c r="A809">
        <f>-90.89403001*(0.3)</f>
        <v>-27.268209002999999</v>
      </c>
      <c r="B809">
        <f>6.99184846230769*(0.3)</f>
        <v>2.0975545386923073</v>
      </c>
      <c r="C809">
        <f>20.9755453869231*(0.3)</f>
        <v>6.292663616076922</v>
      </c>
      <c r="D809">
        <f>6.99184846230769*(0.3)</f>
        <v>2.0975545386923073</v>
      </c>
      <c r="E809">
        <f>6.99184846230769*(0.3)</f>
        <v>2.0975545386923073</v>
      </c>
      <c r="F809">
        <f>6.99184846230769*(0.3)</f>
        <v>2.0975545386923073</v>
      </c>
      <c r="G809">
        <f>4.19510907738461*(0.3)</f>
        <v>1.2585327232153845</v>
      </c>
      <c r="H809">
        <f>6.99184846230769*(0.3)</f>
        <v>2.0975545386923073</v>
      </c>
      <c r="I809">
        <f>6.99184846230769*(0.3)</f>
        <v>2.0975545386923073</v>
      </c>
      <c r="J809">
        <f>-1.39836969246154*(0.3)</f>
        <v>-0.41951090773846139</v>
      </c>
      <c r="K809">
        <f>6.99184846230769*(0.3)</f>
        <v>2.0975545386923073</v>
      </c>
      <c r="L809">
        <f>3.42600574653077*(0.3)</f>
        <v>1.0278017239592305</v>
      </c>
      <c r="M809">
        <f>7.69103330853846*(0.3)</f>
        <v>2.3073099925615383</v>
      </c>
      <c r="N809">
        <f>6.99184846230769*(0.3)</f>
        <v>2.0975545386923073</v>
      </c>
    </row>
    <row r="810" spans="1:14" x14ac:dyDescent="0.25">
      <c r="A810">
        <f>-255.8841464*(0.3)</f>
        <v>-76.765243919999989</v>
      </c>
      <c r="B810">
        <f>19.6833958769231*(0.3)</f>
        <v>5.9050187630769226</v>
      </c>
      <c r="C810">
        <f>59.0501876307692*(0.3)</f>
        <v>17.71505628923077</v>
      </c>
      <c r="D810">
        <f>19.6833958769231*(0.3)</f>
        <v>5.9050187630769226</v>
      </c>
      <c r="E810">
        <f>19.6833958769231*(0.3)</f>
        <v>5.9050187630769226</v>
      </c>
      <c r="F810">
        <f>19.6833958769231*(0.3)</f>
        <v>5.9050187630769226</v>
      </c>
      <c r="G810">
        <f>11.8100375261538*(0.3)</f>
        <v>3.5430112578461537</v>
      </c>
      <c r="H810">
        <f>19.6833958769231*(0.3)</f>
        <v>5.9050187630769226</v>
      </c>
      <c r="I810">
        <f>19.6833958769231*(0.3)</f>
        <v>5.9050187630769226</v>
      </c>
      <c r="J810">
        <f>-3.93667917538461*(0.3)</f>
        <v>-1.1810037526153843</v>
      </c>
      <c r="K810">
        <f>19.6833958769231*(0.3)</f>
        <v>5.9050187630769226</v>
      </c>
      <c r="L810">
        <f>9.64486397969231*(0.3)</f>
        <v>2.8934591939076921</v>
      </c>
      <c r="M810">
        <f>21.6517354646154*(0.3)</f>
        <v>6.4955206393846154</v>
      </c>
      <c r="N810">
        <f>19.6833958769231*(0.3)</f>
        <v>5.9050187630769226</v>
      </c>
    </row>
    <row r="811" spans="1:14" x14ac:dyDescent="0.25">
      <c r="A811">
        <f>-117.8538784*(0.3)</f>
        <v>-35.356163519999996</v>
      </c>
      <c r="B811">
        <f>9.06568295384615*(0.3)</f>
        <v>2.719704886153846</v>
      </c>
      <c r="C811">
        <f>27.1970488615385*(0.3)</f>
        <v>8.1591146584615366</v>
      </c>
      <c r="D811">
        <f>9.06568295384615*(0.3)</f>
        <v>2.719704886153846</v>
      </c>
      <c r="E811">
        <f>9.06568295384615*(0.3)</f>
        <v>2.719704886153846</v>
      </c>
      <c r="F811">
        <f>9.06568295384615*(0.3)</f>
        <v>2.719704886153846</v>
      </c>
      <c r="G811">
        <f>5.43940977230769*(0.3)</f>
        <v>1.6318229316923076</v>
      </c>
      <c r="H811">
        <f>9.06568295384615*(0.3)</f>
        <v>2.719704886153846</v>
      </c>
      <c r="I811">
        <f>9.06568295384615*(0.3)</f>
        <v>2.719704886153846</v>
      </c>
      <c r="J811">
        <f>-1.81313659076923*(0.3)</f>
        <v>-0.54394097723076906</v>
      </c>
      <c r="K811">
        <f>9.06568295384615*(0.3)</f>
        <v>2.719704886153846</v>
      </c>
      <c r="L811">
        <f>4.44218464738461*(0.3)</f>
        <v>1.3326553942153843</v>
      </c>
      <c r="M811">
        <f>9.97225124923077*(0.3)</f>
        <v>2.9916753747692306</v>
      </c>
      <c r="N811">
        <f>9.06568295384615*(0.3)</f>
        <v>2.719704886153846</v>
      </c>
    </row>
    <row r="812" spans="1:14" x14ac:dyDescent="0.25">
      <c r="A812">
        <f>-293.6856457*(0.3)</f>
        <v>-88.105693709999997</v>
      </c>
      <c r="B812">
        <f>22.5912035153846*(0.3)</f>
        <v>6.7773610546153851</v>
      </c>
      <c r="C812">
        <f>67.7736105461538*(0.3)</f>
        <v>20.332083163846153</v>
      </c>
      <c r="D812">
        <f>22.5912035153846*(0.3)</f>
        <v>6.7773610546153851</v>
      </c>
      <c r="E812">
        <f>22.5912035153846*(0.3)</f>
        <v>6.7773610546153851</v>
      </c>
      <c r="F812">
        <f>22.5912035153846*(0.3)</f>
        <v>6.7773610546153851</v>
      </c>
      <c r="G812">
        <f>13.5547221092308*(0.3)</f>
        <v>4.066416632769231</v>
      </c>
      <c r="H812">
        <f>22.5912035153846*(0.3)</f>
        <v>6.7773610546153851</v>
      </c>
      <c r="I812">
        <f>22.5912035153846*(0.3)</f>
        <v>6.7773610546153851</v>
      </c>
      <c r="J812">
        <f>-4.51824070307692*(0.3)</f>
        <v>-1.3554722109230768</v>
      </c>
      <c r="K812">
        <f>22.5912035153846*(0.3)</f>
        <v>6.7773610546153851</v>
      </c>
      <c r="L812">
        <f>11.0696897225385*(0.3)</f>
        <v>3.3209069167615382</v>
      </c>
      <c r="M812">
        <f>24.8503238669231*(0.3)</f>
        <v>7.4550971600769236</v>
      </c>
      <c r="N812">
        <f>22.5912035153846*(0.3)</f>
        <v>6.7773610546153851</v>
      </c>
    </row>
    <row r="813" spans="1:14" x14ac:dyDescent="0.25">
      <c r="A813">
        <f>-138.1882598*(0.3)</f>
        <v>-41.456477939999999</v>
      </c>
      <c r="B813">
        <f>10.6298661384615*(0.3)</f>
        <v>3.1889598415384617</v>
      </c>
      <c r="C813">
        <f>31.8895984153846*(0.3)</f>
        <v>9.5668795246153859</v>
      </c>
      <c r="D813">
        <f>10.6298661384615*(0.3)</f>
        <v>3.1889598415384617</v>
      </c>
      <c r="E813">
        <f>10.6298661384615*(0.3)</f>
        <v>3.1889598415384617</v>
      </c>
      <c r="F813">
        <f>10.6298661384615*(0.3)</f>
        <v>3.1889598415384617</v>
      </c>
      <c r="G813">
        <f>6.37791968307692*(0.3)</f>
        <v>1.913375904923077</v>
      </c>
      <c r="H813">
        <f>10.6298661384615*(0.3)</f>
        <v>3.1889598415384617</v>
      </c>
      <c r="I813">
        <f>10.6298661384615*(0.3)</f>
        <v>3.1889598415384617</v>
      </c>
      <c r="J813">
        <f>-2.12597322769231*(0.3)</f>
        <v>-0.63779196830769214</v>
      </c>
      <c r="K813">
        <f>10.6298661384615*(0.3)</f>
        <v>3.1889598415384617</v>
      </c>
      <c r="L813">
        <f>5.20863440784615*(0.3)</f>
        <v>1.5625903223538462</v>
      </c>
      <c r="M813">
        <f>11.6928527523077*(0.3)</f>
        <v>3.507855825692308</v>
      </c>
      <c r="N813">
        <f>10.6298661384615*(0.3)</f>
        <v>3.1889598415384617</v>
      </c>
    </row>
    <row r="814" spans="1:14" x14ac:dyDescent="0.25">
      <c r="A814">
        <f>-332.2213824*(0.3)</f>
        <v>-99.666414719999992</v>
      </c>
      <c r="B814">
        <f>25.5554909538462*(0.3)</f>
        <v>7.6666472861538457</v>
      </c>
      <c r="C814">
        <f>76.6664728615385*(0.3)</f>
        <v>22.99994185846154</v>
      </c>
      <c r="D814">
        <f>25.5554909538462*(0.3)</f>
        <v>7.6666472861538457</v>
      </c>
      <c r="E814">
        <f>25.5554909538462*(0.3)</f>
        <v>7.6666472861538457</v>
      </c>
      <c r="F814">
        <f>25.5554909538462*(0.3)</f>
        <v>7.6666472861538457</v>
      </c>
      <c r="G814">
        <f>15.3332945723077*(0.3)</f>
        <v>4.5999883716923069</v>
      </c>
      <c r="H814">
        <f>25.5554909538462*(0.3)</f>
        <v>7.6666472861538457</v>
      </c>
      <c r="I814">
        <f>25.5554909538462*(0.3)</f>
        <v>7.6666472861538457</v>
      </c>
      <c r="J814">
        <f>-5.11109819076923*(0.3)</f>
        <v>-1.533329457230769</v>
      </c>
      <c r="K814">
        <f>25.5554909538462*(0.3)</f>
        <v>7.6666472861538457</v>
      </c>
      <c r="L814">
        <f>12.5221905673846*(0.3)</f>
        <v>3.7566571702153841</v>
      </c>
      <c r="M814">
        <f>28.1110400492308*(0.3)</f>
        <v>8.4333120147692302</v>
      </c>
      <c r="N814">
        <f>25.5554909538462*(0.3)</f>
        <v>7.6666472861538457</v>
      </c>
    </row>
    <row r="815" spans="1:14" x14ac:dyDescent="0.25">
      <c r="A815">
        <f>-165.9001676*(0.3)</f>
        <v>-49.77005028</v>
      </c>
      <c r="B815">
        <f>12.7615513538462*(0.3)</f>
        <v>3.8284654061538461</v>
      </c>
      <c r="C815">
        <f>38.2846540615385*(0.3)</f>
        <v>11.485396218461538</v>
      </c>
      <c r="D815">
        <f>12.7615513538462*(0.3)</f>
        <v>3.8284654061538461</v>
      </c>
      <c r="E815">
        <f>12.7615513538462*(0.3)</f>
        <v>3.8284654061538461</v>
      </c>
      <c r="F815">
        <f>12.7615513538462*(0.3)</f>
        <v>3.8284654061538461</v>
      </c>
      <c r="G815">
        <f>7.65693081230769*(0.3)</f>
        <v>2.2970792436923078</v>
      </c>
      <c r="H815">
        <f>12.7615513538462*(0.3)</f>
        <v>3.8284654061538461</v>
      </c>
      <c r="I815">
        <f>12.7615513538462*(0.3)</f>
        <v>3.8284654061538461</v>
      </c>
      <c r="J815">
        <f>-2.55231027076923*(0.3)</f>
        <v>-0.76569308123076907</v>
      </c>
      <c r="K815">
        <f>12.7615513538462*(0.3)</f>
        <v>3.8284654061538461</v>
      </c>
      <c r="L815">
        <f>6.25316016338462*(0.3)</f>
        <v>1.8759480490153846</v>
      </c>
      <c r="M815">
        <f>14.0377064892308*(0.3)</f>
        <v>4.2113119467692313</v>
      </c>
      <c r="N815">
        <f>12.7615513538462*(0.3)</f>
        <v>3.8284654061538461</v>
      </c>
    </row>
    <row r="816" spans="1:14" x14ac:dyDescent="0.25">
      <c r="A816">
        <f>-366.0733928*(0.3)</f>
        <v>-109.82201784</v>
      </c>
      <c r="B816">
        <f>28.1594917538462*(0.3)</f>
        <v>8.4478475261538453</v>
      </c>
      <c r="C816">
        <f>84.4784752615385*(0.3)</f>
        <v>25.343542578461538</v>
      </c>
      <c r="D816">
        <f>28.1594917538462*(0.3)</f>
        <v>8.4478475261538453</v>
      </c>
      <c r="E816">
        <f>28.1594917538462*(0.3)</f>
        <v>8.4478475261538453</v>
      </c>
      <c r="F816">
        <f>28.1594917538462*(0.3)</f>
        <v>8.4478475261538453</v>
      </c>
      <c r="G816">
        <f>16.8956950523077*(0.3)</f>
        <v>5.0687085156923066</v>
      </c>
      <c r="H816">
        <f>28.1594917538462*(0.3)</f>
        <v>8.4478475261538453</v>
      </c>
      <c r="I816">
        <f>28.1594917538462*(0.3)</f>
        <v>8.4478475261538453</v>
      </c>
      <c r="J816">
        <f>-5.63189835076923*(0.3)</f>
        <v>-1.6895695052307687</v>
      </c>
      <c r="K816">
        <f>28.1594917538462*(0.3)</f>
        <v>8.4478475261538453</v>
      </c>
      <c r="L816">
        <f>13.7981509593846*(0.3)</f>
        <v>4.1394452878153842</v>
      </c>
      <c r="M816">
        <f>30.9754409292308*(0.3)</f>
        <v>9.292632278769231</v>
      </c>
      <c r="N816">
        <f>28.1594917538462*(0.3)</f>
        <v>8.4478475261538453</v>
      </c>
    </row>
    <row r="817" spans="1:14" x14ac:dyDescent="0.25">
      <c r="A817">
        <f>-3.228838844*(0.3)</f>
        <v>-0.96865165320000002</v>
      </c>
      <c r="B817">
        <f>0.248372218769231*(0.3)</f>
        <v>7.4511665630769233E-2</v>
      </c>
      <c r="C817">
        <f>0.745116656307692*(0.3)</f>
        <v>0.22353499689230771</v>
      </c>
      <c r="D817">
        <f>0.248372218769231*(0.3)</f>
        <v>7.4511665630769233E-2</v>
      </c>
      <c r="E817">
        <f>0.248372218769231*(0.3)</f>
        <v>7.4511665630769233E-2</v>
      </c>
      <c r="F817">
        <f>0.248372218769231*(0.3)</f>
        <v>7.4511665630769233E-2</v>
      </c>
      <c r="G817">
        <f>0.149023331261538*(0.3)</f>
        <v>4.4706999378461537E-2</v>
      </c>
      <c r="H817">
        <f>0.248372218769231*(0.3)</f>
        <v>7.4511665630769233E-2</v>
      </c>
      <c r="I817">
        <f>0.248372218769231*(0.3)</f>
        <v>7.4511665630769233E-2</v>
      </c>
      <c r="J817">
        <f>-0.0496744437538462*(0.3)</f>
        <v>-1.4902333126153845E-2</v>
      </c>
      <c r="K817">
        <f>0.248372218769231*(0.3)</f>
        <v>7.4511665630769233E-2</v>
      </c>
      <c r="L817">
        <f>0.121702387196923*(0.3)</f>
        <v>3.6510716159076924E-2</v>
      </c>
      <c r="M817">
        <f>0.273209440646154*(0.3)</f>
        <v>8.1962832193846161E-2</v>
      </c>
      <c r="N817">
        <f>0.248372218769231*(0.3)</f>
        <v>7.4511665630769233E-2</v>
      </c>
    </row>
    <row r="818" spans="1:14" x14ac:dyDescent="0.25">
      <c r="A818">
        <f>-115.367904*(0.3)</f>
        <v>-34.610371199999996</v>
      </c>
      <c r="B818">
        <f>8.87445415384615*(0.3)</f>
        <v>2.662336246153846</v>
      </c>
      <c r="C818">
        <f>26.6233624615385*(0.3)</f>
        <v>7.9870087384615385</v>
      </c>
      <c r="D818">
        <f>8.87445415384615*(0.3)</f>
        <v>2.662336246153846</v>
      </c>
      <c r="E818">
        <f>8.87445415384615*(0.3)</f>
        <v>2.662336246153846</v>
      </c>
      <c r="F818">
        <f>8.87445415384615*(0.3)</f>
        <v>2.662336246153846</v>
      </c>
      <c r="G818">
        <f>5.32467249230769*(0.3)</f>
        <v>1.5974017476923075</v>
      </c>
      <c r="H818">
        <f>8.87445415384615*(0.3)</f>
        <v>2.662336246153846</v>
      </c>
      <c r="I818">
        <f>8.87445415384615*(0.3)</f>
        <v>2.662336246153846</v>
      </c>
      <c r="J818">
        <f>-1.77489083076923*(0.3)</f>
        <v>-0.53246724923076905</v>
      </c>
      <c r="K818">
        <f>8.87445415384615*(0.3)</f>
        <v>2.662336246153846</v>
      </c>
      <c r="L818">
        <f>4.34848253538462*(0.3)</f>
        <v>1.3045447606153846</v>
      </c>
      <c r="M818">
        <f>9.76189956923077*(0.3)</f>
        <v>2.9285698707692309</v>
      </c>
      <c r="N818">
        <f>8.87445415384615*(0.3)</f>
        <v>2.662336246153846</v>
      </c>
    </row>
    <row r="819" spans="1:14" x14ac:dyDescent="0.25">
      <c r="A819">
        <f>-7.854048254*(0.3)</f>
        <v>-2.3562144761999999</v>
      </c>
      <c r="B819">
        <f>0.604157558*(0.3)</f>
        <v>0.1812472674</v>
      </c>
      <c r="C819">
        <f>1.812472674*(0.3)</f>
        <v>0.54374180220000001</v>
      </c>
      <c r="D819">
        <f>0.604157558*(0.3)</f>
        <v>0.1812472674</v>
      </c>
      <c r="E819">
        <f>0.604157558*(0.3)</f>
        <v>0.1812472674</v>
      </c>
      <c r="F819">
        <f>0.604157558*(0.3)</f>
        <v>0.1812472674</v>
      </c>
      <c r="G819">
        <f>0.3624945348*(0.3)</f>
        <v>0.10874836044</v>
      </c>
      <c r="H819">
        <f>0.604157558*(0.3)</f>
        <v>0.1812472674</v>
      </c>
      <c r="I819">
        <f>0.604157558*(0.3)</f>
        <v>0.1812472674</v>
      </c>
      <c r="J819">
        <f>-0.1208315116*(0.3)</f>
        <v>-3.6249453479999992E-2</v>
      </c>
      <c r="K819">
        <f>0.604157558*(0.3)</f>
        <v>0.1812472674</v>
      </c>
      <c r="L819">
        <f>0.29603720342*(0.3)</f>
        <v>8.8811161025999993E-2</v>
      </c>
      <c r="M819">
        <f>0.6645733138*(0.3)</f>
        <v>0.19937199414000001</v>
      </c>
      <c r="N819">
        <f>0.604157558*(0.3)</f>
        <v>0.1812472674</v>
      </c>
    </row>
    <row r="820" spans="1:14" x14ac:dyDescent="0.25">
      <c r="A820">
        <f>-156.1032671*(0.3)</f>
        <v>-46.83098013</v>
      </c>
      <c r="B820">
        <f>12.0079436230769*(0.3)</f>
        <v>3.6023830869230773</v>
      </c>
      <c r="C820">
        <f>36.0238308692308*(0.3)</f>
        <v>10.807149260769231</v>
      </c>
      <c r="D820">
        <f>12.0079436230769*(0.3)</f>
        <v>3.6023830869230773</v>
      </c>
      <c r="E820">
        <f>12.0079436230769*(0.3)</f>
        <v>3.6023830869230773</v>
      </c>
      <c r="F820">
        <f>12.0079436230769*(0.3)</f>
        <v>3.6023830869230773</v>
      </c>
      <c r="G820">
        <f>7.20476617384615*(0.3)</f>
        <v>2.1614298521538462</v>
      </c>
      <c r="H820">
        <f>12.0079436230769*(0.3)</f>
        <v>3.6023830869230773</v>
      </c>
      <c r="I820">
        <f>12.0079436230769*(0.3)</f>
        <v>3.6023830869230773</v>
      </c>
      <c r="J820">
        <f>-2.40158872461538*(0.3)</f>
        <v>-0.72047661738461533</v>
      </c>
      <c r="K820">
        <f>12.0079436230769*(0.3)</f>
        <v>3.6023830869230773</v>
      </c>
      <c r="L820">
        <f>5.88389237530769*(0.3)</f>
        <v>1.7651677125923078</v>
      </c>
      <c r="M820">
        <f>13.2087379853846*(0.3)</f>
        <v>3.9626213956153853</v>
      </c>
      <c r="N820">
        <f>12.0079436230769*(0.3)</f>
        <v>3.6023830869230773</v>
      </c>
    </row>
    <row r="821" spans="1:14" x14ac:dyDescent="0.25">
      <c r="A821">
        <f>-8.088459989*(0.3)</f>
        <v>-2.4265379967</v>
      </c>
      <c r="B821">
        <f>0.622189229923077*(0.3)</f>
        <v>0.18665676897692307</v>
      </c>
      <c r="C821">
        <f>1.86656768976923*(0.3)</f>
        <v>0.55997030693076921</v>
      </c>
      <c r="D821">
        <f>0.622189229923077*(0.3)</f>
        <v>0.18665676897692307</v>
      </c>
      <c r="E821">
        <f>0.622189229923077*(0.3)</f>
        <v>0.18665676897692307</v>
      </c>
      <c r="F821">
        <f>0.622189229923077*(0.3)</f>
        <v>0.18665676897692307</v>
      </c>
      <c r="G821">
        <f>0.373313537953846*(0.3)</f>
        <v>0.11199406138615384</v>
      </c>
      <c r="H821">
        <f>0.622189229923077*(0.3)</f>
        <v>0.18665676897692307</v>
      </c>
      <c r="I821">
        <f>0.622189229923077*(0.3)</f>
        <v>0.18665676897692307</v>
      </c>
      <c r="J821">
        <f>-0.124437845984615*(0.3)</f>
        <v>-3.7331353795384603E-2</v>
      </c>
      <c r="K821">
        <f>0.622189229923077*(0.3)</f>
        <v>0.18665676897692307</v>
      </c>
      <c r="L821">
        <f>0.304872722662308*(0.3)</f>
        <v>9.1461816798692308E-2</v>
      </c>
      <c r="M821">
        <f>0.684408152915385*(0.3)</f>
        <v>0.20532244587461537</v>
      </c>
      <c r="N821">
        <f>0.622189229923077*(0.3)</f>
        <v>0.18665676897692307</v>
      </c>
    </row>
    <row r="822" spans="1:14" x14ac:dyDescent="0.25">
      <c r="A822">
        <f>-197.3811616*(0.3)</f>
        <v>-59.214348479999998</v>
      </c>
      <c r="B822">
        <f>15.1831662769231*(0.3)</f>
        <v>4.5549498830769233</v>
      </c>
      <c r="C822">
        <f>45.5494988307692*(0.3)</f>
        <v>13.664849649230771</v>
      </c>
      <c r="D822">
        <f>15.1831662769231*(0.3)</f>
        <v>4.5549498830769233</v>
      </c>
      <c r="E822">
        <f>15.1831662769231*(0.3)</f>
        <v>4.5549498830769233</v>
      </c>
      <c r="F822">
        <f>15.1831662769231*(0.3)</f>
        <v>4.5549498830769233</v>
      </c>
      <c r="G822">
        <f>9.10989976615385*(0.3)</f>
        <v>2.7329699298461541</v>
      </c>
      <c r="H822">
        <f>15.1831662769231*(0.3)</f>
        <v>4.5549498830769233</v>
      </c>
      <c r="I822">
        <f>15.1831662769231*(0.3)</f>
        <v>4.5549498830769233</v>
      </c>
      <c r="J822">
        <f>-3.03663325538461*(0.3)</f>
        <v>-0.91098997661538439</v>
      </c>
      <c r="K822">
        <f>15.1831662769231*(0.3)</f>
        <v>4.5549498830769233</v>
      </c>
      <c r="L822">
        <f>7.43975147569231*(0.3)</f>
        <v>2.2319254427076922</v>
      </c>
      <c r="M822">
        <f>16.7014829046154*(0.3)</f>
        <v>5.0104448713846157</v>
      </c>
      <c r="N822">
        <f>15.1831662769231*(0.3)</f>
        <v>4.5549498830769233</v>
      </c>
    </row>
    <row r="823" spans="1:14" x14ac:dyDescent="0.25">
      <c r="A823">
        <f>-6.368307105*(0.3)</f>
        <v>-1.9104921315000001</v>
      </c>
      <c r="B823">
        <f>0.489869777307692*(0.3)</f>
        <v>0.14696093319230769</v>
      </c>
      <c r="C823">
        <f>1.46960933192308*(0.3)</f>
        <v>0.44088279957692306</v>
      </c>
      <c r="D823">
        <f>0.489869777307692*(0.3)</f>
        <v>0.14696093319230769</v>
      </c>
      <c r="E823">
        <f>0.489869777307692*(0.3)</f>
        <v>0.14696093319230769</v>
      </c>
      <c r="F823">
        <f>0.489869777307692*(0.3)</f>
        <v>0.14696093319230769</v>
      </c>
      <c r="G823">
        <f>0.293921866384615*(0.3)</f>
        <v>8.8176559915384603E-2</v>
      </c>
      <c r="H823">
        <f>0.489869777307692*(0.3)</f>
        <v>0.14696093319230769</v>
      </c>
      <c r="I823">
        <f>0.489869777307692*(0.3)</f>
        <v>0.14696093319230769</v>
      </c>
      <c r="J823">
        <f>-0.0979739554615384*(0.3)</f>
        <v>-2.9392186638461534E-2</v>
      </c>
      <c r="K823">
        <f>0.489869777307692*(0.3)</f>
        <v>0.14696093319230769</v>
      </c>
      <c r="L823">
        <f>0.240036190880769*(0.3)</f>
        <v>7.2010857264230774E-2</v>
      </c>
      <c r="M823">
        <f>0.538856755038462*(0.3)</f>
        <v>0.16165702651153849</v>
      </c>
      <c r="N823">
        <f>0.489869777307692*(0.3)</f>
        <v>0.14696093319230769</v>
      </c>
    </row>
    <row r="824" spans="1:14" x14ac:dyDescent="0.25">
      <c r="A824">
        <f>-233.6757917*(0.3)</f>
        <v>-70.102737509999997</v>
      </c>
      <c r="B824">
        <f>17.9750609*(0.3)</f>
        <v>5.3925182699999992</v>
      </c>
      <c r="C824">
        <f>53.9251827*(0.3)</f>
        <v>16.177554809999997</v>
      </c>
      <c r="D824">
        <f>17.9750609*(0.3)</f>
        <v>5.3925182699999992</v>
      </c>
      <c r="E824">
        <f>17.9750609*(0.3)</f>
        <v>5.3925182699999992</v>
      </c>
      <c r="F824">
        <f>17.9750609*(0.3)</f>
        <v>5.3925182699999992</v>
      </c>
      <c r="G824">
        <f>10.78503654*(0.3)</f>
        <v>3.2355109619999993</v>
      </c>
      <c r="H824">
        <f>17.9750609*(0.3)</f>
        <v>5.3925182699999992</v>
      </c>
      <c r="I824">
        <f>17.9750609*(0.3)</f>
        <v>5.3925182699999992</v>
      </c>
      <c r="J824">
        <f>-3.59501218*(0.3)</f>
        <v>-1.0785036539999997</v>
      </c>
      <c r="K824">
        <f>17.9750609*(0.3)</f>
        <v>5.3925182699999992</v>
      </c>
      <c r="L824">
        <f>8.807779841*(0.3)</f>
        <v>2.6423339522999996</v>
      </c>
      <c r="M824">
        <f>19.77256699*(0.3)</f>
        <v>5.9317700970000002</v>
      </c>
      <c r="N824">
        <f>17.9750609*(0.3)</f>
        <v>5.3925182699999992</v>
      </c>
    </row>
    <row r="825" spans="1:14" x14ac:dyDescent="0.25">
      <c r="A825">
        <f>-11.69728968*(0.3)</f>
        <v>-3.5091869040000003</v>
      </c>
      <c r="B825">
        <f>0.899791513846154*(0.3)</f>
        <v>0.26993745415384612</v>
      </c>
      <c r="C825">
        <f>2.69937454153846*(0.3)</f>
        <v>0.80981236246153854</v>
      </c>
      <c r="D825">
        <f>0.899791513846154*(0.3)</f>
        <v>0.26993745415384612</v>
      </c>
      <c r="E825">
        <f>0.899791513846154*(0.3)</f>
        <v>0.26993745415384612</v>
      </c>
      <c r="F825">
        <f>0.899791513846154*(0.3)</f>
        <v>0.26993745415384612</v>
      </c>
      <c r="G825">
        <f>0.539874908307692*(0.3)</f>
        <v>0.16196247249230766</v>
      </c>
      <c r="H825">
        <f>0.899791513846154*(0.3)</f>
        <v>0.26993745415384612</v>
      </c>
      <c r="I825">
        <f>0.899791513846154*(0.3)</f>
        <v>0.26993745415384612</v>
      </c>
      <c r="J825">
        <f>-0.179958302769231*(0.3)</f>
        <v>-5.3987490830769216E-2</v>
      </c>
      <c r="K825">
        <f>0.899791513846154*(0.3)</f>
        <v>0.26993745415384612</v>
      </c>
      <c r="L825">
        <f>0.440897841784615*(0.3)</f>
        <v>0.1322693525353846</v>
      </c>
      <c r="M825">
        <f>0.989770665230769*(0.3)</f>
        <v>0.29693119956923075</v>
      </c>
      <c r="N825">
        <f>0.899791513846154*(0.3)</f>
        <v>0.26993745415384612</v>
      </c>
    </row>
    <row r="826" spans="1:14" x14ac:dyDescent="0.25">
      <c r="A826">
        <f>-272.872767*(0.3)</f>
        <v>-81.861830100000006</v>
      </c>
      <c r="B826">
        <f>20.9902128461538*(0.3)</f>
        <v>6.2970638538461534</v>
      </c>
      <c r="C826">
        <f>62.9706385384615*(0.3)</f>
        <v>18.891191561538459</v>
      </c>
      <c r="D826">
        <f>20.9902128461538*(0.3)</f>
        <v>6.2970638538461534</v>
      </c>
      <c r="E826">
        <f>20.9902128461538*(0.3)</f>
        <v>6.2970638538461534</v>
      </c>
      <c r="F826">
        <f>20.9902128461538*(0.3)</f>
        <v>6.2970638538461534</v>
      </c>
      <c r="G826">
        <f>12.5941277076923*(0.3)</f>
        <v>3.7782383123076917</v>
      </c>
      <c r="H826">
        <f>20.9902128461538*(0.3)</f>
        <v>6.2970638538461534</v>
      </c>
      <c r="I826">
        <f>20.9902128461538*(0.3)</f>
        <v>6.2970638538461534</v>
      </c>
      <c r="J826">
        <f>-4.19804256923077*(0.3)</f>
        <v>-1.2594127707692304</v>
      </c>
      <c r="K826">
        <f>20.9902128461538*(0.3)</f>
        <v>6.2970638538461534</v>
      </c>
      <c r="L826">
        <f>10.2852042946154*(0.3)</f>
        <v>3.0855612883846155</v>
      </c>
      <c r="M826">
        <f>23.0892341307692*(0.3)</f>
        <v>6.9267702392307688</v>
      </c>
      <c r="N826">
        <f>20.9902128461538*(0.3)</f>
        <v>6.2970638538461534</v>
      </c>
    </row>
    <row r="827" spans="1:14" x14ac:dyDescent="0.25">
      <c r="A827">
        <f>-14.4977712*(0.3)</f>
        <v>-4.3493313599999999</v>
      </c>
      <c r="B827">
        <f>1.11521316923077*(0.3)</f>
        <v>0.33456395076923073</v>
      </c>
      <c r="C827">
        <f>3.34563950769231*(0.3)</f>
        <v>1.0036918523076923</v>
      </c>
      <c r="D827">
        <f>1.11521316923077*(0.3)</f>
        <v>0.33456395076923073</v>
      </c>
      <c r="E827">
        <f>1.11521316923077*(0.3)</f>
        <v>0.33456395076923073</v>
      </c>
      <c r="F827">
        <f>1.11521316923077*(0.3)</f>
        <v>0.33456395076923073</v>
      </c>
      <c r="G827">
        <f>0.669127901538461*(0.3)</f>
        <v>0.20073837046153845</v>
      </c>
      <c r="H827">
        <f>1.11521316923077*(0.3)</f>
        <v>0.33456395076923073</v>
      </c>
      <c r="I827">
        <f>1.11521316923077*(0.3)</f>
        <v>0.33456395076923073</v>
      </c>
      <c r="J827">
        <f>-0.223042633846154*(0.3)</f>
        <v>-6.691279015384613E-2</v>
      </c>
      <c r="K827">
        <f>1.11521316923077*(0.3)</f>
        <v>0.33456395076923073</v>
      </c>
      <c r="L827">
        <f>0.546454452923077*(0.3)</f>
        <v>0.16393633587692308</v>
      </c>
      <c r="M827">
        <f>1.22673448615385*(0.3)</f>
        <v>0.3680203458461539</v>
      </c>
      <c r="N827">
        <f>1.11521316923077*(0.3)</f>
        <v>0.33456395076923073</v>
      </c>
    </row>
    <row r="828" spans="1:14" x14ac:dyDescent="0.25">
      <c r="A828">
        <f>-313.9693455*(0.3)</f>
        <v>-94.190803649999992</v>
      </c>
      <c r="B828">
        <f>24.1514881153846*(0.3)</f>
        <v>7.2454464346153831</v>
      </c>
      <c r="C828">
        <f>72.4544643461538*(0.3)</f>
        <v>21.736339303846151</v>
      </c>
      <c r="D828">
        <f>24.1514881153846*(0.3)</f>
        <v>7.2454464346153831</v>
      </c>
      <c r="E828">
        <f>24.1514881153846*(0.3)</f>
        <v>7.2454464346153831</v>
      </c>
      <c r="F828">
        <f>24.1514881153846*(0.3)</f>
        <v>7.2454464346153831</v>
      </c>
      <c r="G828">
        <f>14.4908928692308*(0.3)</f>
        <v>4.3472678607692297</v>
      </c>
      <c r="H828">
        <f>24.1514881153846*(0.3)</f>
        <v>7.2454464346153831</v>
      </c>
      <c r="I828">
        <f>24.1514881153846*(0.3)</f>
        <v>7.2454464346153831</v>
      </c>
      <c r="J828">
        <f>-4.83029762307692*(0.3)</f>
        <v>-1.4490892869230765</v>
      </c>
      <c r="K828">
        <f>24.1514881153846*(0.3)</f>
        <v>7.2454464346153831</v>
      </c>
      <c r="L828">
        <f>11.8342291765385*(0.3)</f>
        <v>3.5502687529615375</v>
      </c>
      <c r="M828">
        <f>26.5666369269231*(0.3)</f>
        <v>7.969991078076923</v>
      </c>
      <c r="N828">
        <f>24.1514881153846*(0.3)</f>
        <v>7.2454464346153831</v>
      </c>
    </row>
    <row r="829" spans="1:14" x14ac:dyDescent="0.25">
      <c r="A829">
        <f>-13.88345012*(0.3)</f>
        <v>-4.1650350359999999</v>
      </c>
      <c r="B829">
        <f>1.06795770153846*(0.3)</f>
        <v>0.3203873104615384</v>
      </c>
      <c r="C829">
        <f>3.20387310461538*(0.3)</f>
        <v>0.96116193138461514</v>
      </c>
      <c r="D829">
        <f>1.06795770153846*(0.3)</f>
        <v>0.3203873104615384</v>
      </c>
      <c r="E829">
        <f>1.06795770153846*(0.3)</f>
        <v>0.3203873104615384</v>
      </c>
      <c r="F829">
        <f>1.06795770153846*(0.3)</f>
        <v>0.3203873104615384</v>
      </c>
      <c r="G829">
        <f>0.640774620923077*(0.3)</f>
        <v>0.19223238627692305</v>
      </c>
      <c r="H829">
        <f>1.06795770153846*(0.3)</f>
        <v>0.3203873104615384</v>
      </c>
      <c r="I829">
        <f>1.06795770153846*(0.3)</f>
        <v>0.3203873104615384</v>
      </c>
      <c r="J829">
        <f>-0.213591540307692*(0.3)</f>
        <v>-6.4077462092307663E-2</v>
      </c>
      <c r="K829">
        <f>1.06795770153846*(0.3)</f>
        <v>0.3203873104615384</v>
      </c>
      <c r="L829">
        <f>0.523299273753846*(0.3)</f>
        <v>0.15698978212615383</v>
      </c>
      <c r="M829">
        <f>1.17475347169231*(0.3)</f>
        <v>0.35242604150769224</v>
      </c>
      <c r="N829">
        <f>1.06795770153846*(0.3)</f>
        <v>0.3203873104615384</v>
      </c>
    </row>
    <row r="830" spans="1:14" x14ac:dyDescent="0.25">
      <c r="A830">
        <f>-352.1215505*(0.3)</f>
        <v>-105.63646515000001</v>
      </c>
      <c r="B830">
        <f>27.0862731153846*(0.3)</f>
        <v>8.1258819346153857</v>
      </c>
      <c r="C830">
        <f>81.2588193461539*(0.3)</f>
        <v>24.377645803846157</v>
      </c>
      <c r="D830">
        <f>27.0862731153846*(0.3)</f>
        <v>8.1258819346153857</v>
      </c>
      <c r="E830">
        <f>27.0862731153846*(0.3)</f>
        <v>8.1258819346153857</v>
      </c>
      <c r="F830">
        <f>27.0862731153846*(0.3)</f>
        <v>8.1258819346153857</v>
      </c>
      <c r="G830">
        <f>16.2517638692308*(0.3)</f>
        <v>4.875529160769231</v>
      </c>
      <c r="H830">
        <f>27.0862731153846*(0.3)</f>
        <v>8.1258819346153857</v>
      </c>
      <c r="I830">
        <f>27.0862731153846*(0.3)</f>
        <v>8.1258819346153857</v>
      </c>
      <c r="J830">
        <f>-5.41725462307692*(0.3)</f>
        <v>-1.6251763869230766</v>
      </c>
      <c r="K830">
        <f>27.0862731153846*(0.3)</f>
        <v>8.1258819346153857</v>
      </c>
      <c r="L830">
        <f>13.2722738265385*(0.3)</f>
        <v>3.9816821479615387</v>
      </c>
      <c r="M830">
        <f>29.7949004269231*(0.3)</f>
        <v>8.9384701280769239</v>
      </c>
      <c r="N830">
        <f>27.0862731153846*(0.3)</f>
        <v>8.1258819346153857</v>
      </c>
    </row>
    <row r="831" spans="1:14" x14ac:dyDescent="0.25">
      <c r="A831">
        <f>-18.90107251*(0.3)</f>
        <v>-5.6703217529999996</v>
      </c>
      <c r="B831">
        <f>1.45392865461538*(0.3)</f>
        <v>0.43617859638461531</v>
      </c>
      <c r="C831">
        <f>4.36178596384615*(0.3)</f>
        <v>1.3085357891538461</v>
      </c>
      <c r="D831">
        <f>1.45392865461538*(0.3)</f>
        <v>0.43617859638461531</v>
      </c>
      <c r="E831">
        <f>1.45392865461538*(0.3)</f>
        <v>0.43617859638461531</v>
      </c>
      <c r="F831">
        <f>1.45392865461538*(0.3)</f>
        <v>0.43617859638461531</v>
      </c>
      <c r="G831">
        <f>0.872357192769231*(0.3)</f>
        <v>0.2617071578307692</v>
      </c>
      <c r="H831">
        <f>1.45392865461538*(0.3)</f>
        <v>0.43617859638461531</v>
      </c>
      <c r="I831">
        <f>1.45392865461538*(0.3)</f>
        <v>0.43617859638461531</v>
      </c>
      <c r="J831">
        <f>-0.290785730923077*(0.3)</f>
        <v>-8.7235719276923043E-2</v>
      </c>
      <c r="K831">
        <f>1.45392865461538*(0.3)</f>
        <v>0.43617859638461531</v>
      </c>
      <c r="L831">
        <f>0.712425040761538*(0.3)</f>
        <v>0.21372751222846151</v>
      </c>
      <c r="M831">
        <f>1.59932152007692*(0.3)</f>
        <v>0.47979645602307691</v>
      </c>
      <c r="N831">
        <f>1.45392865461538*(0.3)</f>
        <v>0.43617859638461531</v>
      </c>
    </row>
    <row r="832" spans="1:14" x14ac:dyDescent="0.25">
      <c r="A832">
        <f>-389.8900488*(0.3)</f>
        <v>-116.96701463999999</v>
      </c>
      <c r="B832">
        <f>29.9915422153846*(0.3)</f>
        <v>8.9974626646153837</v>
      </c>
      <c r="C832">
        <f>89.9746266461539*(0.3)</f>
        <v>26.992387993846155</v>
      </c>
      <c r="D832">
        <f>29.9915422153846*(0.3)</f>
        <v>8.9974626646153837</v>
      </c>
      <c r="E832">
        <f>29.9915422153846*(0.3)</f>
        <v>8.9974626646153837</v>
      </c>
      <c r="F832">
        <f>29.9915422153846*(0.3)</f>
        <v>8.9974626646153837</v>
      </c>
      <c r="G832">
        <f>17.9949253292308*(0.3)</f>
        <v>5.3984775987692304</v>
      </c>
      <c r="H832">
        <f>29.9915422153846*(0.3)</f>
        <v>8.9974626646153837</v>
      </c>
      <c r="I832">
        <f>29.9915422153846*(0.3)</f>
        <v>8.9974626646153837</v>
      </c>
      <c r="J832">
        <f>-5.99830844307692*(0.3)</f>
        <v>-1.7994925329230764</v>
      </c>
      <c r="K832">
        <f>29.9915422153846*(0.3)</f>
        <v>8.9974626646153837</v>
      </c>
      <c r="L832">
        <f>14.6958556855385*(0.3)</f>
        <v>4.4087567056615384</v>
      </c>
      <c r="M832">
        <f>32.9906964369231*(0.3)</f>
        <v>9.8972089310769231</v>
      </c>
      <c r="N832">
        <f>29.9915422153846*(0.3)</f>
        <v>8.9974626646153837</v>
      </c>
    </row>
    <row r="833" spans="1:14" x14ac:dyDescent="0.25">
      <c r="A833">
        <f>-7.229131396*(0.3)</f>
        <v>-2.1687394188</v>
      </c>
      <c r="B833">
        <f>0.556087030461538*(0.3)</f>
        <v>0.16682610913846152</v>
      </c>
      <c r="C833">
        <f>1.66826109138462*(0.3)</f>
        <v>0.50047832741538456</v>
      </c>
      <c r="D833">
        <f>0.556087030461538*(0.3)</f>
        <v>0.16682610913846152</v>
      </c>
      <c r="E833">
        <f>0.556087030461538*(0.3)</f>
        <v>0.16682610913846152</v>
      </c>
      <c r="F833">
        <f>0.556087030461538*(0.3)</f>
        <v>0.16682610913846152</v>
      </c>
      <c r="G833">
        <f>0.333652218276923*(0.3)</f>
        <v>0.10009566548307691</v>
      </c>
      <c r="H833">
        <f>0.556087030461538*(0.3)</f>
        <v>0.16682610913846152</v>
      </c>
      <c r="I833">
        <f>0.556087030461538*(0.3)</f>
        <v>0.16682610913846152</v>
      </c>
      <c r="J833">
        <f>-0.111217406092308*(0.3)</f>
        <v>-3.3365221827692297E-2</v>
      </c>
      <c r="K833">
        <f>0.556087030461538*(0.3)</f>
        <v>0.16682610913846152</v>
      </c>
      <c r="L833">
        <f>0.272482644926154*(0.3)</f>
        <v>8.1744793477846148E-2</v>
      </c>
      <c r="M833">
        <f>0.611695733507692*(0.3)</f>
        <v>0.18350872005230767</v>
      </c>
      <c r="N833">
        <f>0.556087030461538*(0.3)</f>
        <v>0.16682610913846152</v>
      </c>
    </row>
    <row r="834" spans="1:14" x14ac:dyDescent="0.25">
      <c r="A834">
        <f>-0.702621856*(0.3)</f>
        <v>-0.2107865568</v>
      </c>
      <c r="B834">
        <f>0.0540478350769231*(0.3)</f>
        <v>1.6214350523076924E-2</v>
      </c>
      <c r="C834">
        <f>0.162143505230769*(0.3)</f>
        <v>4.8643051569230773E-2</v>
      </c>
      <c r="D834">
        <f>0.0540478350769231*(0.3)</f>
        <v>1.6214350523076924E-2</v>
      </c>
      <c r="E834">
        <f>0.0540478350769231*(0.3)</f>
        <v>1.6214350523076924E-2</v>
      </c>
      <c r="F834">
        <f>0.0540478350769231*(0.3)</f>
        <v>1.6214350523076924E-2</v>
      </c>
      <c r="G834">
        <f>0.0324287010461538*(0.3)</f>
        <v>9.7286103138461543E-3</v>
      </c>
      <c r="H834">
        <f>0.0540478350769231*(0.3)</f>
        <v>1.6214350523076924E-2</v>
      </c>
      <c r="I834">
        <f>0.0540478350769231*(0.3)</f>
        <v>1.6214350523076924E-2</v>
      </c>
      <c r="J834">
        <f>-0.0108095670153846*(0.3)</f>
        <v>-3.2428701046153842E-3</v>
      </c>
      <c r="K834">
        <f>0.0540478350769231*(0.3)</f>
        <v>1.6214350523076924E-2</v>
      </c>
      <c r="L834">
        <f>0.0264834391876923*(0.3)</f>
        <v>7.9450317563076935E-3</v>
      </c>
      <c r="M834">
        <f>0.0594526185846154*(0.3)</f>
        <v>1.7835785575384618E-2</v>
      </c>
      <c r="N834">
        <f>0.0540478350769231*(0.3)</f>
        <v>1.6214350523076924E-2</v>
      </c>
    </row>
    <row r="835" spans="1:14" x14ac:dyDescent="0.25">
      <c r="A835">
        <f>-8.585632701*(0.3)</f>
        <v>-2.5756898102999997</v>
      </c>
      <c r="B835">
        <f>0.660433284692308*(0.3)</f>
        <v>0.19812998540769231</v>
      </c>
      <c r="C835">
        <f>1.98129985407692*(0.3)</f>
        <v>0.59438995622307689</v>
      </c>
      <c r="D835">
        <f>0.660433284692308*(0.3)</f>
        <v>0.19812998540769231</v>
      </c>
      <c r="E835">
        <f>0.660433284692308*(0.3)</f>
        <v>0.19812998540769231</v>
      </c>
      <c r="F835">
        <f>0.660433284692308*(0.3)</f>
        <v>0.19812998540769231</v>
      </c>
      <c r="G835">
        <f>0.396259970815385*(0.3)</f>
        <v>0.11887799124461537</v>
      </c>
      <c r="H835">
        <f>0.660433284692308*(0.3)</f>
        <v>0.19812998540769231</v>
      </c>
      <c r="I835">
        <f>0.660433284692308*(0.3)</f>
        <v>0.19812998540769231</v>
      </c>
      <c r="J835">
        <f>-0.132086656938461*(0.3)</f>
        <v>-3.9625997081538446E-2</v>
      </c>
      <c r="K835">
        <f>0.660433284692308*(0.3)</f>
        <v>0.19812998540769231</v>
      </c>
      <c r="L835">
        <f>0.323612309499231*(0.3)</f>
        <v>9.7083692849769226E-2</v>
      </c>
      <c r="M835">
        <f>0.726476613161538*(0.3)</f>
        <v>0.21794298394846154</v>
      </c>
      <c r="N835">
        <f>0.660433284692308*(0.3)</f>
        <v>0.19812998540769231</v>
      </c>
    </row>
    <row r="836" spans="1:14" x14ac:dyDescent="0.25">
      <c r="A836">
        <f>-2.570812948*(0.3)</f>
        <v>-0.77124388439999991</v>
      </c>
      <c r="B836">
        <f>0.197754842153846*(0.3)</f>
        <v>5.9326452646153841E-2</v>
      </c>
      <c r="C836">
        <f>0.593264526461538*(0.3)</f>
        <v>0.17797935793846151</v>
      </c>
      <c r="D836">
        <f>0.197754842153846*(0.3)</f>
        <v>5.9326452646153841E-2</v>
      </c>
      <c r="E836">
        <f>0.197754842153846*(0.3)</f>
        <v>5.9326452646153841E-2</v>
      </c>
      <c r="F836">
        <f>0.197754842153846*(0.3)</f>
        <v>5.9326452646153841E-2</v>
      </c>
      <c r="G836">
        <f>0.118652905292308*(0.3)</f>
        <v>3.5595871587692306E-2</v>
      </c>
      <c r="H836">
        <f>0.197754842153846*(0.3)</f>
        <v>5.9326452646153841E-2</v>
      </c>
      <c r="I836">
        <f>0.197754842153846*(0.3)</f>
        <v>5.9326452646153841E-2</v>
      </c>
      <c r="J836">
        <f>-0.0395509684307692*(0.3)</f>
        <v>-1.1865290529230766E-2</v>
      </c>
      <c r="K836">
        <f>0.197754842153846*(0.3)</f>
        <v>5.9326452646153841E-2</v>
      </c>
      <c r="L836">
        <f>0.0968998726553846*(0.3)</f>
        <v>2.906996179661538E-2</v>
      </c>
      <c r="M836">
        <f>0.217530326369231*(0.3)</f>
        <v>6.5259097910769226E-2</v>
      </c>
      <c r="N836">
        <f>0.197754842153846*(0.3)</f>
        <v>5.9326452646153841E-2</v>
      </c>
    </row>
    <row r="837" spans="1:14" x14ac:dyDescent="0.25">
      <c r="A837">
        <f>-10.91010993*(0.3)</f>
        <v>-3.2730329790000003</v>
      </c>
      <c r="B837">
        <f>0.839239225384615*(0.3)</f>
        <v>0.25177176761538461</v>
      </c>
      <c r="C837">
        <f>2.51771767615385*(0.3)</f>
        <v>0.75531530284615389</v>
      </c>
      <c r="D837">
        <f>0.839239225384615*(0.3)</f>
        <v>0.25177176761538461</v>
      </c>
      <c r="E837">
        <f>0.839239225384615*(0.3)</f>
        <v>0.25177176761538461</v>
      </c>
      <c r="F837">
        <f>0.839239225384615*(0.3)</f>
        <v>0.25177176761538461</v>
      </c>
      <c r="G837">
        <f>0.503543535230769*(0.3)</f>
        <v>0.15106306056923077</v>
      </c>
      <c r="H837">
        <f>0.839239225384615*(0.3)</f>
        <v>0.25177176761538461</v>
      </c>
      <c r="I837">
        <f>0.839239225384615*(0.3)</f>
        <v>0.25177176761538461</v>
      </c>
      <c r="J837">
        <f>-0.167847845076923*(0.3)</f>
        <v>-5.0354353523076913E-2</v>
      </c>
      <c r="K837">
        <f>0.839239225384615*(0.3)</f>
        <v>0.25177176761538461</v>
      </c>
      <c r="L837">
        <f>0.411227220438462*(0.3)</f>
        <v>0.12336816613153848</v>
      </c>
      <c r="M837">
        <f>0.923163147923077*(0.3)</f>
        <v>0.27694894437692313</v>
      </c>
      <c r="N837">
        <f>0.839239225384615*(0.3)</f>
        <v>0.25177176761538461</v>
      </c>
    </row>
    <row r="838" spans="1:14" x14ac:dyDescent="0.25">
      <c r="A838">
        <f>0.500293014*(0.3)</f>
        <v>0.15008790420000001</v>
      </c>
      <c r="B838">
        <f>-0.038484078*(0.3)</f>
        <v>-1.15452234E-2</v>
      </c>
      <c r="C838">
        <f>-0.115452234*(0.3)</f>
        <v>-3.4635670200000003E-2</v>
      </c>
      <c r="D838">
        <f>-0.038484078*(0.3)</f>
        <v>-1.15452234E-2</v>
      </c>
      <c r="E838">
        <f>-0.038484078*(0.3)</f>
        <v>-1.15452234E-2</v>
      </c>
      <c r="F838">
        <f>-0.038484078*(0.3)</f>
        <v>-1.15452234E-2</v>
      </c>
      <c r="G838">
        <f>-0.0230904468*(0.3)</f>
        <v>-6.9271340400000004E-3</v>
      </c>
      <c r="H838">
        <f>-0.038484078*(0.3)</f>
        <v>-1.15452234E-2</v>
      </c>
      <c r="I838">
        <f>-0.038484078*(0.3)</f>
        <v>-1.15452234E-2</v>
      </c>
      <c r="J838">
        <f>0.0076968156*(0.3)</f>
        <v>2.3090446799999996E-3</v>
      </c>
      <c r="K838">
        <f>-0.038484078*(0.3)</f>
        <v>-1.15452234E-2</v>
      </c>
      <c r="L838">
        <f>-0.01885719822*(0.3)</f>
        <v>-5.6571594660000009E-3</v>
      </c>
      <c r="M838">
        <f>-0.0423324858*(0.3)</f>
        <v>-1.2699745740000002E-2</v>
      </c>
      <c r="N838">
        <f>-0.038484078*(0.3)</f>
        <v>-1.15452234E-2</v>
      </c>
    </row>
    <row r="839" spans="1:14" x14ac:dyDescent="0.25">
      <c r="A839">
        <f>-16.43603478*(0.3)</f>
        <v>-4.9308104339999996</v>
      </c>
      <c r="B839">
        <f>1.26431036769231*(0.3)</f>
        <v>0.3792931103076923</v>
      </c>
      <c r="C839">
        <f>3.79293110307692*(0.3)</f>
        <v>1.137879330923077</v>
      </c>
      <c r="D839">
        <f>1.26431036769231*(0.3)</f>
        <v>0.3792931103076923</v>
      </c>
      <c r="E839">
        <f>1.26431036769231*(0.3)</f>
        <v>0.3792931103076923</v>
      </c>
      <c r="F839">
        <f>1.26431036769231*(0.3)</f>
        <v>0.3792931103076923</v>
      </c>
      <c r="G839">
        <f>0.758586220615385*(0.3)</f>
        <v>0.22757586618461537</v>
      </c>
      <c r="H839">
        <f>1.26431036769231*(0.3)</f>
        <v>0.3792931103076923</v>
      </c>
      <c r="I839">
        <f>1.26431036769231*(0.3)</f>
        <v>0.3792931103076923</v>
      </c>
      <c r="J839">
        <f>-0.252862073538462*(0.3)</f>
        <v>-7.5858622061538455E-2</v>
      </c>
      <c r="K839">
        <f>1.26431036769231*(0.3)</f>
        <v>0.3792931103076923</v>
      </c>
      <c r="L839">
        <f>0.619512080169231*(0.3)</f>
        <v>0.18585362405076922</v>
      </c>
      <c r="M839">
        <f>1.39074140446154*(0.3)</f>
        <v>0.4172224213384616</v>
      </c>
      <c r="N839">
        <f>1.26431036769231*(0.3)</f>
        <v>0.3792931103076923</v>
      </c>
    </row>
    <row r="840" spans="1:14" x14ac:dyDescent="0.25">
      <c r="A840">
        <f>1.199792979*(0.3)</f>
        <v>0.35993789369999996</v>
      </c>
      <c r="B840">
        <f>-0.0922917676153846*(0.3)</f>
        <v>-2.7687530284615385E-2</v>
      </c>
      <c r="C840">
        <f>-0.276875302846154*(0.3)</f>
        <v>-8.3062590853846152E-2</v>
      </c>
      <c r="D840">
        <f>-0.0922917676153846*(0.3)</f>
        <v>-2.7687530284615385E-2</v>
      </c>
      <c r="E840">
        <f>-0.0922917676153846*(0.3)</f>
        <v>-2.7687530284615385E-2</v>
      </c>
      <c r="F840">
        <f>-0.0922917676153846*(0.3)</f>
        <v>-2.7687530284615385E-2</v>
      </c>
      <c r="G840">
        <f>-0.0553750605692308*(0.3)</f>
        <v>-1.6612518170769232E-2</v>
      </c>
      <c r="H840">
        <f>-0.0922917676153846*(0.3)</f>
        <v>-2.7687530284615385E-2</v>
      </c>
      <c r="I840">
        <f>-0.0922917676153846*(0.3)</f>
        <v>-2.7687530284615385E-2</v>
      </c>
      <c r="J840">
        <f>0.0184583535230769*(0.3)</f>
        <v>5.5375060569230758E-3</v>
      </c>
      <c r="K840">
        <f>-0.0922917676153846*(0.3)</f>
        <v>-2.7687530284615385E-2</v>
      </c>
      <c r="L840">
        <f>-0.0452229661315385*(0.3)</f>
        <v>-1.3566889839461539E-2</v>
      </c>
      <c r="M840">
        <f>-0.101520944376923*(0.3)</f>
        <v>-3.0456283313076923E-2</v>
      </c>
      <c r="N840">
        <f>-0.0922917676153846*(0.3)</f>
        <v>-2.7687530284615385E-2</v>
      </c>
    </row>
    <row r="841" spans="1:14" x14ac:dyDescent="0.25">
      <c r="A841">
        <f>-21.30961769*(0.3)</f>
        <v>-6.3928853069999994</v>
      </c>
      <c r="B841">
        <f>1.63920136076923*(0.3)</f>
        <v>0.49176040823076922</v>
      </c>
      <c r="C841">
        <f>4.91760408230769*(0.3)</f>
        <v>1.4752812246923075</v>
      </c>
      <c r="D841">
        <f>1.63920136076923*(0.3)</f>
        <v>0.49176040823076922</v>
      </c>
      <c r="E841">
        <f>1.63920136076923*(0.3)</f>
        <v>0.49176040823076922</v>
      </c>
      <c r="F841">
        <f>1.63920136076923*(0.3)</f>
        <v>0.49176040823076922</v>
      </c>
      <c r="G841">
        <f>0.983520816461538*(0.3)</f>
        <v>0.2950562449384615</v>
      </c>
      <c r="H841">
        <f>1.63920136076923*(0.3)</f>
        <v>0.49176040823076922</v>
      </c>
      <c r="I841">
        <f>1.63920136076923*(0.3)</f>
        <v>0.49176040823076922</v>
      </c>
      <c r="J841">
        <f>-0.327840272153846*(0.3)</f>
        <v>-9.8352081646153819E-2</v>
      </c>
      <c r="K841">
        <f>1.63920136076923*(0.3)</f>
        <v>0.49176040823076922</v>
      </c>
      <c r="L841">
        <f>0.803208666776923*(0.3)</f>
        <v>0.24096260003307693</v>
      </c>
      <c r="M841">
        <f>1.80312149684615*(0.3)</f>
        <v>0.54093644905384619</v>
      </c>
      <c r="N841">
        <f>1.63920136076923*(0.3)</f>
        <v>0.49176040823076922</v>
      </c>
    </row>
    <row r="842" spans="1:14" x14ac:dyDescent="0.25">
      <c r="A842">
        <f>0.275203404*(0.3)</f>
        <v>8.2561021199999987E-2</v>
      </c>
      <c r="B842">
        <f>-0.0211694926153846*(0.3)</f>
        <v>-6.3508477846153837E-3</v>
      </c>
      <c r="C842">
        <f>-0.0635084778461538*(0.3)</f>
        <v>-1.9052543353846148E-2</v>
      </c>
      <c r="D842">
        <f>-0.0211694926153846*(0.3)</f>
        <v>-6.3508477846153837E-3</v>
      </c>
      <c r="E842">
        <f>-0.0211694926153846*(0.3)</f>
        <v>-6.3508477846153837E-3</v>
      </c>
      <c r="F842">
        <f>-0.0211694926153846*(0.3)</f>
        <v>-6.3508477846153837E-3</v>
      </c>
      <c r="G842">
        <f>-0.0127016955692308*(0.3)</f>
        <v>-3.8105086707692299E-3</v>
      </c>
      <c r="H842">
        <f>-0.0211694926153846*(0.3)</f>
        <v>-6.3508477846153837E-3</v>
      </c>
      <c r="I842">
        <f>-0.0211694926153846*(0.3)</f>
        <v>-6.3508477846153837E-3</v>
      </c>
      <c r="J842">
        <f>0.00423389852307692*(0.3)</f>
        <v>1.2701695569230765E-3</v>
      </c>
      <c r="K842">
        <f>-0.0211694926153846*(0.3)</f>
        <v>-6.3508477846153837E-3</v>
      </c>
      <c r="L842">
        <f>-0.0103730513815385*(0.3)</f>
        <v>-3.1119154144615378E-3</v>
      </c>
      <c r="M842">
        <f>-0.0232864418769231*(0.3)</f>
        <v>-6.985932563076923E-3</v>
      </c>
      <c r="N842">
        <f>-0.0211694926153846*(0.3)</f>
        <v>-6.3508477846153837E-3</v>
      </c>
    </row>
    <row r="843" spans="1:14" x14ac:dyDescent="0.25">
      <c r="A843">
        <f>-22.39033826*(0.3)</f>
        <v>-6.717101478</v>
      </c>
      <c r="B843">
        <f>1.72233371230769*(0.3)</f>
        <v>0.51670011369230762</v>
      </c>
      <c r="C843">
        <f>5.16700113692308*(0.3)</f>
        <v>1.550100341076923</v>
      </c>
      <c r="D843">
        <f>1.72233371230769*(0.3)</f>
        <v>0.51670011369230762</v>
      </c>
      <c r="E843">
        <f>1.72233371230769*(0.3)</f>
        <v>0.51670011369230762</v>
      </c>
      <c r="F843">
        <f>1.72233371230769*(0.3)</f>
        <v>0.51670011369230762</v>
      </c>
      <c r="G843">
        <f>1.03340022738462*(0.3)</f>
        <v>0.31002006821538458</v>
      </c>
      <c r="H843">
        <f>1.72233371230769*(0.3)</f>
        <v>0.51670011369230762</v>
      </c>
      <c r="I843">
        <f>1.72233371230769*(0.3)</f>
        <v>0.51670011369230762</v>
      </c>
      <c r="J843">
        <f>-0.344466742461538*(0.3)</f>
        <v>-0.1033400227384615</v>
      </c>
      <c r="K843">
        <f>1.72233371230769*(0.3)</f>
        <v>0.51670011369230762</v>
      </c>
      <c r="L843">
        <f>0.843943519030769*(0.3)</f>
        <v>0.25318305570923078</v>
      </c>
      <c r="M843">
        <f>1.89456708353846*(0.3)</f>
        <v>0.5683701250615385</v>
      </c>
      <c r="N843">
        <f>1.72233371230769*(0.3)</f>
        <v>0.51670011369230762</v>
      </c>
    </row>
    <row r="844" spans="1:14" x14ac:dyDescent="0.25">
      <c r="A844">
        <f>0.105405274*(0.3)</f>
        <v>3.1621582199999998E-2</v>
      </c>
      <c r="B844">
        <f>-0.008108098*(0.3)</f>
        <v>-2.4324293999999995E-3</v>
      </c>
      <c r="C844">
        <f>-0.024324294*(0.3)</f>
        <v>-7.2972881999999982E-3</v>
      </c>
      <c r="D844">
        <f>-0.008108098*(0.3)</f>
        <v>-2.4324293999999995E-3</v>
      </c>
      <c r="E844">
        <f>-0.008108098*(0.3)</f>
        <v>-2.4324293999999995E-3</v>
      </c>
      <c r="F844">
        <f>-0.008108098*(0.3)</f>
        <v>-2.4324293999999995E-3</v>
      </c>
      <c r="G844">
        <f>-0.0048648588*(0.3)</f>
        <v>-1.4594576399999998E-3</v>
      </c>
      <c r="H844">
        <f>-0.008108098*(0.3)</f>
        <v>-2.4324293999999995E-3</v>
      </c>
      <c r="I844">
        <f>-0.008108098*(0.3)</f>
        <v>-2.4324293999999995E-3</v>
      </c>
      <c r="J844">
        <f>0.0016216196*(0.3)</f>
        <v>4.8648587999999983E-4</v>
      </c>
      <c r="K844">
        <f>-0.008108098*(0.3)</f>
        <v>-2.4324293999999995E-3</v>
      </c>
      <c r="L844">
        <f>-0.00397296802*(0.3)</f>
        <v>-1.1918904059999998E-3</v>
      </c>
      <c r="M844">
        <f>-0.0089189078*(0.3)</f>
        <v>-2.67567234E-3</v>
      </c>
      <c r="N844">
        <f>-0.008108098*(0.3)</f>
        <v>-2.4324293999999995E-3</v>
      </c>
    </row>
    <row r="845" spans="1:14" x14ac:dyDescent="0.25">
      <c r="A845">
        <f>-25.12807045*(0.3)</f>
        <v>-7.5384211349999992</v>
      </c>
      <c r="B845">
        <f>1.93292849615385*(0.3)</f>
        <v>0.57987854884615375</v>
      </c>
      <c r="C845">
        <f>5.79878548846154*(0.3)</f>
        <v>1.7396356465384615</v>
      </c>
      <c r="D845">
        <f>1.93292849615385*(0.3)</f>
        <v>0.57987854884615375</v>
      </c>
      <c r="E845">
        <f>1.93292849615385*(0.3)</f>
        <v>0.57987854884615375</v>
      </c>
      <c r="F845">
        <f>1.93292849615385*(0.3)</f>
        <v>0.57987854884615375</v>
      </c>
      <c r="G845">
        <f>1.15975709769231*(0.3)</f>
        <v>0.34792712930769226</v>
      </c>
      <c r="H845">
        <f>1.93292849615385*(0.3)</f>
        <v>0.57987854884615375</v>
      </c>
      <c r="I845">
        <f>1.93292849615385*(0.3)</f>
        <v>0.57987854884615375</v>
      </c>
      <c r="J845">
        <f>-0.386585699230769*(0.3)</f>
        <v>-0.11597570976923073</v>
      </c>
      <c r="K845">
        <f>1.93292849615385*(0.3)</f>
        <v>0.57987854884615375</v>
      </c>
      <c r="L845">
        <f>0.947134963115384*(0.3)</f>
        <v>0.28414048893461535</v>
      </c>
      <c r="M845">
        <f>2.12622134576923*(0.3)</f>
        <v>0.63786640373076919</v>
      </c>
      <c r="N845">
        <f>1.93292849615385*(0.3)</f>
        <v>0.57987854884615375</v>
      </c>
    </row>
    <row r="846" spans="1:14" x14ac:dyDescent="0.25">
      <c r="A846">
        <f>0.303503824*(0.3)</f>
        <v>9.1051147199999988E-2</v>
      </c>
      <c r="B846">
        <f>-0.023346448*(0.3)</f>
        <v>-7.0039343999999991E-3</v>
      </c>
      <c r="C846">
        <f>-0.070039344*(0.3)</f>
        <v>-2.1011803200000002E-2</v>
      </c>
      <c r="D846">
        <f>-0.023346448*(0.3)</f>
        <v>-7.0039343999999991E-3</v>
      </c>
      <c r="E846">
        <f>-0.023346448*(0.3)</f>
        <v>-7.0039343999999991E-3</v>
      </c>
      <c r="F846">
        <f>-0.023346448*(0.3)</f>
        <v>-7.0039343999999991E-3</v>
      </c>
      <c r="G846">
        <f>-0.0140078688*(0.3)</f>
        <v>-4.2023606399999996E-3</v>
      </c>
      <c r="H846">
        <f>-0.023346448*(0.3)</f>
        <v>-7.0039343999999991E-3</v>
      </c>
      <c r="I846">
        <f>-0.023346448*(0.3)</f>
        <v>-7.0039343999999991E-3</v>
      </c>
      <c r="J846">
        <f>0.0046692896*(0.3)</f>
        <v>1.4007868799999995E-3</v>
      </c>
      <c r="K846">
        <f>-0.023346448*(0.3)</f>
        <v>-7.0039343999999991E-3</v>
      </c>
      <c r="L846">
        <f>-0.01143975952*(0.3)</f>
        <v>-3.4319278559999996E-3</v>
      </c>
      <c r="M846">
        <f>-0.0256810928*(0.3)</f>
        <v>-7.7043278399999996E-3</v>
      </c>
      <c r="N846">
        <f>-0.023346448*(0.3)</f>
        <v>-7.0039343999999991E-3</v>
      </c>
    </row>
    <row r="847" spans="1:14" x14ac:dyDescent="0.25">
      <c r="A847">
        <f>-25.75792417*(0.3)</f>
        <v>-7.7273772509999992</v>
      </c>
      <c r="B847">
        <f>1.98137878230769*(0.3)</f>
        <v>0.59441363469230768</v>
      </c>
      <c r="C847">
        <f>5.94413634692308*(0.3)</f>
        <v>1.783240904076923</v>
      </c>
      <c r="D847">
        <f>1.98137878230769*(0.3)</f>
        <v>0.59441363469230768</v>
      </c>
      <c r="E847">
        <f>1.98137878230769*(0.3)</f>
        <v>0.59441363469230768</v>
      </c>
      <c r="F847">
        <f>1.98137878230769*(0.3)</f>
        <v>0.59441363469230768</v>
      </c>
      <c r="G847">
        <f>1.18882726938462*(0.3)</f>
        <v>0.35664818081538457</v>
      </c>
      <c r="H847">
        <f>1.98137878230769*(0.3)</f>
        <v>0.59441363469230768</v>
      </c>
      <c r="I847">
        <f>1.98137878230769*(0.3)</f>
        <v>0.59441363469230768</v>
      </c>
      <c r="J847">
        <f>-0.396275756461538*(0.3)</f>
        <v>-0.1188827269384615</v>
      </c>
      <c r="K847">
        <f>1.98137878230769*(0.3)</f>
        <v>0.59441363469230768</v>
      </c>
      <c r="L847">
        <f>0.970875603330769*(0.3)</f>
        <v>0.29126268099923075</v>
      </c>
      <c r="M847">
        <f>2.17951666053846*(0.3)</f>
        <v>0.65385499816153847</v>
      </c>
      <c r="N847">
        <f>1.98137878230769*(0.3)</f>
        <v>0.59441363469230768</v>
      </c>
    </row>
    <row r="848" spans="1:14" x14ac:dyDescent="0.25">
      <c r="A848">
        <f>-2.008973195*(0.3)</f>
        <v>-0.6026919584999999</v>
      </c>
      <c r="B848">
        <f>0.154536399615385*(0.3)</f>
        <v>4.6360919884615374E-2</v>
      </c>
      <c r="C848">
        <f>0.463609198846154*(0.3)</f>
        <v>0.13908275965384614</v>
      </c>
      <c r="D848">
        <f>0.154536399615385*(0.3)</f>
        <v>4.6360919884615374E-2</v>
      </c>
      <c r="E848">
        <f>0.154536399615385*(0.3)</f>
        <v>4.6360919884615374E-2</v>
      </c>
      <c r="F848">
        <f>0.154536399615385*(0.3)</f>
        <v>4.6360919884615374E-2</v>
      </c>
      <c r="G848">
        <f>0.0927218397692307*(0.3)</f>
        <v>2.7816551930769224E-2</v>
      </c>
      <c r="H848">
        <f>0.154536399615385*(0.3)</f>
        <v>4.6360919884615374E-2</v>
      </c>
      <c r="I848">
        <f>0.154536399615385*(0.3)</f>
        <v>4.6360919884615374E-2</v>
      </c>
      <c r="J848">
        <f>-0.0309072799230769*(0.3)</f>
        <v>-9.2721839769230735E-3</v>
      </c>
      <c r="K848">
        <f>0.154536399615385*(0.3)</f>
        <v>4.6360919884615374E-2</v>
      </c>
      <c r="L848">
        <f>0.0757228358115384*(0.3)</f>
        <v>2.2716850743461536E-2</v>
      </c>
      <c r="M848">
        <f>0.169990039576923*(0.3)</f>
        <v>5.0997011873076918E-2</v>
      </c>
      <c r="N848">
        <f>0.154536399615385*(0.3)</f>
        <v>4.6360919884615374E-2</v>
      </c>
    </row>
    <row r="849" spans="1:14" x14ac:dyDescent="0.25">
      <c r="A849">
        <f>-4.083664216*(0.3)</f>
        <v>-1.2250992647999999</v>
      </c>
      <c r="B849">
        <f>0.314128016615385*(0.3)</f>
        <v>9.4238404984615373E-2</v>
      </c>
      <c r="C849">
        <f>0.942384049846154*(0.3)</f>
        <v>0.28271521495384611</v>
      </c>
      <c r="D849">
        <f>0.314128016615385*(0.3)</f>
        <v>9.4238404984615373E-2</v>
      </c>
      <c r="E849">
        <f>0.314128016615385*(0.3)</f>
        <v>9.4238404984615373E-2</v>
      </c>
      <c r="F849">
        <f>0.314128016615385*(0.3)</f>
        <v>9.4238404984615373E-2</v>
      </c>
      <c r="G849">
        <f>0.188476809969231*(0.3)</f>
        <v>5.6543042990769218E-2</v>
      </c>
      <c r="H849">
        <f>0.314128016615385*(0.3)</f>
        <v>9.4238404984615373E-2</v>
      </c>
      <c r="I849">
        <f>0.314128016615385*(0.3)</f>
        <v>9.4238404984615373E-2</v>
      </c>
      <c r="J849">
        <f>-0.0628256033230769*(0.3)</f>
        <v>-1.884768099692307E-2</v>
      </c>
      <c r="K849">
        <f>0.314128016615385*(0.3)</f>
        <v>9.4238404984615373E-2</v>
      </c>
      <c r="L849">
        <f>0.153922728141538*(0.3)</f>
        <v>4.6176818442461534E-2</v>
      </c>
      <c r="M849">
        <f>0.345540818276923*(0.3)</f>
        <v>0.10366224548307691</v>
      </c>
      <c r="N849">
        <f>0.314128016615385*(0.3)</f>
        <v>9.4238404984615373E-2</v>
      </c>
    </row>
    <row r="850" spans="1:14" x14ac:dyDescent="0.25">
      <c r="A850">
        <f>0.70416545*(0.3)</f>
        <v>0.21124963499999999</v>
      </c>
      <c r="B850">
        <f>-0.0541665730769231*(0.3)</f>
        <v>-1.6249971923076922E-2</v>
      </c>
      <c r="C850">
        <f>-0.162499719230769*(0.3)</f>
        <v>-4.8749915769230767E-2</v>
      </c>
      <c r="D850">
        <f>-0.0541665730769231*(0.3)</f>
        <v>-1.6249971923076922E-2</v>
      </c>
      <c r="E850">
        <f>-0.0541665730769231*(0.3)</f>
        <v>-1.6249971923076922E-2</v>
      </c>
      <c r="F850">
        <f>-0.0541665730769231*(0.3)</f>
        <v>-1.6249971923076922E-2</v>
      </c>
      <c r="G850">
        <f>-0.0324999438461538*(0.3)</f>
        <v>-9.7499831538461531E-3</v>
      </c>
      <c r="H850">
        <f>-0.0541665730769231*(0.3)</f>
        <v>-1.6249971923076922E-2</v>
      </c>
      <c r="I850">
        <f>-0.0541665730769231*(0.3)</f>
        <v>-1.6249971923076922E-2</v>
      </c>
      <c r="J850">
        <f>0.0108333146153846*(0.3)</f>
        <v>3.2499943846153838E-3</v>
      </c>
      <c r="K850">
        <f>-0.0541665730769231*(0.3)</f>
        <v>-1.6249971923076922E-2</v>
      </c>
      <c r="L850">
        <f>-0.0265416208076923*(0.3)</f>
        <v>-7.9624862423076925E-3</v>
      </c>
      <c r="M850">
        <f>-0.0595832303846154*(0.3)</f>
        <v>-1.7874969115384616E-2</v>
      </c>
      <c r="N850">
        <f>-0.0541665730769231*(0.3)</f>
        <v>-1.6249971923076922E-2</v>
      </c>
    </row>
    <row r="851" spans="1:14" x14ac:dyDescent="0.25">
      <c r="A851">
        <f>0.757744196*(0.3)</f>
        <v>0.22732325879999998</v>
      </c>
      <c r="B851">
        <f>-0.0582880150769231*(0.3)</f>
        <v>-1.7486404523076923E-2</v>
      </c>
      <c r="C851">
        <f>-0.174864045230769*(0.3)</f>
        <v>-5.2459213569230771E-2</v>
      </c>
      <c r="D851">
        <f>-0.0582880150769231*(0.3)</f>
        <v>-1.7486404523076923E-2</v>
      </c>
      <c r="E851">
        <f>-0.0582880150769231*(0.3)</f>
        <v>-1.7486404523076923E-2</v>
      </c>
      <c r="F851">
        <f>-0.0582880150769231*(0.3)</f>
        <v>-1.7486404523076923E-2</v>
      </c>
      <c r="G851">
        <f>-0.0349728090461538*(0.3)</f>
        <v>-1.0491842713846154E-2</v>
      </c>
      <c r="H851">
        <f>-0.0582880150769231*(0.3)</f>
        <v>-1.7486404523076923E-2</v>
      </c>
      <c r="I851">
        <f>-0.0582880150769231*(0.3)</f>
        <v>-1.7486404523076923E-2</v>
      </c>
      <c r="J851">
        <f>0.0116576030153846*(0.3)</f>
        <v>3.4972809046153836E-3</v>
      </c>
      <c r="K851">
        <f>-0.0582880150769231*(0.3)</f>
        <v>-1.7486404523076923E-2</v>
      </c>
      <c r="L851">
        <f>-0.0285611273876923*(0.3)</f>
        <v>-8.5683382163076922E-3</v>
      </c>
      <c r="M851">
        <f>-0.0641168165846154*(0.3)</f>
        <v>-1.9235044975384617E-2</v>
      </c>
      <c r="N851">
        <f>-0.0582880150769231*(0.3)</f>
        <v>-1.7486404523076923E-2</v>
      </c>
    </row>
    <row r="852" spans="1:14" x14ac:dyDescent="0.25">
      <c r="A852">
        <f>-2.040411114*(0.3)</f>
        <v>-0.61212333419999998</v>
      </c>
      <c r="B852">
        <f>0.156954701076923*(0.3)</f>
        <v>4.7086410323076915E-2</v>
      </c>
      <c r="C852">
        <f>0.470864103230769*(0.3)</f>
        <v>0.14125923096923074</v>
      </c>
      <c r="D852">
        <f>0.156954701076923*(0.3)</f>
        <v>4.7086410323076915E-2</v>
      </c>
      <c r="E852">
        <f>0.156954701076923*(0.3)</f>
        <v>4.7086410323076915E-2</v>
      </c>
      <c r="F852">
        <f>0.156954701076923*(0.3)</f>
        <v>4.7086410323076915E-2</v>
      </c>
      <c r="G852">
        <f>0.0941728206461538*(0.3)</f>
        <v>2.8251846193846148E-2</v>
      </c>
      <c r="H852">
        <f>0.156954701076923*(0.3)</f>
        <v>4.7086410323076915E-2</v>
      </c>
      <c r="I852">
        <f>0.156954701076923*(0.3)</f>
        <v>4.7086410323076915E-2</v>
      </c>
      <c r="J852">
        <f>-0.0313909402153846*(0.3)</f>
        <v>-9.4172820646153815E-3</v>
      </c>
      <c r="K852">
        <f>0.156954701076923*(0.3)</f>
        <v>4.7086410323076915E-2</v>
      </c>
      <c r="L852">
        <f>0.0769078035276923*(0.3)</f>
        <v>2.3072341058307685E-2</v>
      </c>
      <c r="M852">
        <f>0.172650171184615*(0.3)</f>
        <v>5.1795051355384612E-2</v>
      </c>
      <c r="N852">
        <f>0.156954701076923*(0.3)</f>
        <v>4.7086410323076915E-2</v>
      </c>
    </row>
    <row r="853" spans="1:14" x14ac:dyDescent="0.25">
      <c r="A853">
        <f>0.968012192*(0.3)</f>
        <v>0.29040365759999998</v>
      </c>
      <c r="B853">
        <f>-0.0744624763076923*(0.3)</f>
        <v>-2.2338742892307691E-2</v>
      </c>
      <c r="C853">
        <f>-0.223387428923077*(0.3)</f>
        <v>-6.701622867692307E-2</v>
      </c>
      <c r="D853">
        <f>-0.0744624763076923*(0.3)</f>
        <v>-2.2338742892307691E-2</v>
      </c>
      <c r="E853">
        <f>-0.0744624763076923*(0.3)</f>
        <v>-2.2338742892307691E-2</v>
      </c>
      <c r="F853">
        <f>-0.0744624763076923*(0.3)</f>
        <v>-2.2338742892307691E-2</v>
      </c>
      <c r="G853">
        <f>-0.0446774857846154*(0.3)</f>
        <v>-1.3403245735384614E-2</v>
      </c>
      <c r="H853">
        <f>-0.0744624763076923*(0.3)</f>
        <v>-2.2338742892307691E-2</v>
      </c>
      <c r="I853">
        <f>-0.0744624763076923*(0.3)</f>
        <v>-2.2338742892307691E-2</v>
      </c>
      <c r="J853">
        <f>0.0148924952615385*(0.3)</f>
        <v>4.467748578461537E-3</v>
      </c>
      <c r="K853">
        <f>-0.0744624763076923*(0.3)</f>
        <v>-2.2338742892307691E-2</v>
      </c>
      <c r="L853">
        <f>-0.0364866133907692*(0.3)</f>
        <v>-1.094598401723077E-2</v>
      </c>
      <c r="M853">
        <f>-0.0819087239384615*(0.3)</f>
        <v>-2.4572617181538459E-2</v>
      </c>
      <c r="N853">
        <f>-0.0744624763076923*(0.3)</f>
        <v>-2.2338742892307691E-2</v>
      </c>
    </row>
    <row r="854" spans="1:14" x14ac:dyDescent="0.25">
      <c r="A854">
        <f>-1.925352995*(0.3)</f>
        <v>-0.57760589849999999</v>
      </c>
      <c r="B854">
        <f>0.148104076538462*(0.3)</f>
        <v>4.4431222961538459E-2</v>
      </c>
      <c r="C854">
        <f>0.444312229615385*(0.3)</f>
        <v>0.13329366888461536</v>
      </c>
      <c r="D854">
        <f>0.148104076538462*(0.3)</f>
        <v>4.4431222961538459E-2</v>
      </c>
      <c r="E854">
        <f>0.148104076538462*(0.3)</f>
        <v>4.4431222961538459E-2</v>
      </c>
      <c r="F854">
        <f>0.148104076538462*(0.3)</f>
        <v>4.4431222961538459E-2</v>
      </c>
      <c r="G854">
        <f>0.0888624459230769*(0.3)</f>
        <v>2.6658733776923075E-2</v>
      </c>
      <c r="H854">
        <f>0.148104076538462*(0.3)</f>
        <v>4.4431222961538459E-2</v>
      </c>
      <c r="I854">
        <f>0.148104076538462*(0.3)</f>
        <v>4.4431222961538459E-2</v>
      </c>
      <c r="J854">
        <f>-0.0296208153076923*(0.3)</f>
        <v>-8.8862445923076905E-3</v>
      </c>
      <c r="K854">
        <f>0.148104076538462*(0.3)</f>
        <v>4.4431222961538459E-2</v>
      </c>
      <c r="L854">
        <f>0.0725709975038461*(0.3)</f>
        <v>2.1771299251153842E-2</v>
      </c>
      <c r="M854">
        <f>0.162914484192308*(0.3)</f>
        <v>4.8874345257692305E-2</v>
      </c>
      <c r="N854">
        <f>0.148104076538462*(0.3)</f>
        <v>4.4431222961538459E-2</v>
      </c>
    </row>
    <row r="855" spans="1:14" x14ac:dyDescent="0.25">
      <c r="A855">
        <f>1.297423023*(0.3)</f>
        <v>0.38922690689999995</v>
      </c>
      <c r="B855">
        <f>-0.099801771*(0.3)</f>
        <v>-2.9940531299999996E-2</v>
      </c>
      <c r="C855">
        <f>-0.299405313*(0.3)</f>
        <v>-8.9821593899999996E-2</v>
      </c>
      <c r="D855">
        <f>-0.099801771*(0.3)</f>
        <v>-2.9940531299999996E-2</v>
      </c>
      <c r="E855">
        <f>-0.099801771*(0.3)</f>
        <v>-2.9940531299999996E-2</v>
      </c>
      <c r="F855">
        <f>-0.099801771*(0.3)</f>
        <v>-2.9940531299999996E-2</v>
      </c>
      <c r="G855">
        <f>-0.0598810626*(0.3)</f>
        <v>-1.7964318779999999E-2</v>
      </c>
      <c r="H855">
        <f>-0.099801771*(0.3)</f>
        <v>-2.9940531299999996E-2</v>
      </c>
      <c r="I855">
        <f>-0.099801771*(0.3)</f>
        <v>-2.9940531299999996E-2</v>
      </c>
      <c r="J855">
        <f>0.0199603542*(0.3)</f>
        <v>5.9881062599999981E-3</v>
      </c>
      <c r="K855">
        <f>-0.099801771*(0.3)</f>
        <v>-2.9940531299999996E-2</v>
      </c>
      <c r="L855">
        <f>-0.04890286779*(0.3)</f>
        <v>-1.4670860336999998E-2</v>
      </c>
      <c r="M855">
        <f>-0.1097819481*(0.3)</f>
        <v>-3.2934584430000004E-2</v>
      </c>
      <c r="N855">
        <f>-0.099801771*(0.3)</f>
        <v>-2.9940531299999996E-2</v>
      </c>
    </row>
    <row r="856" spans="1:14" x14ac:dyDescent="0.25">
      <c r="A856">
        <f>1.969241099*(0.3)</f>
        <v>0.59077232969999993</v>
      </c>
      <c r="B856">
        <f>-0.151480084538462*(0.3)</f>
        <v>-4.5444025361538458E-2</v>
      </c>
      <c r="C856">
        <f>-0.454440253615385*(0.3)</f>
        <v>-0.13633207608461539</v>
      </c>
      <c r="D856">
        <f>-0.151480084538462*(0.3)</f>
        <v>-4.5444025361538458E-2</v>
      </c>
      <c r="E856">
        <f>-0.151480084538462*(0.3)</f>
        <v>-4.5444025361538458E-2</v>
      </c>
      <c r="F856">
        <f>-0.151480084538462*(0.3)</f>
        <v>-4.5444025361538458E-2</v>
      </c>
      <c r="G856">
        <f>-0.0908880507230769*(0.3)</f>
        <v>-2.7266415216923075E-2</v>
      </c>
      <c r="H856">
        <f>-0.151480084538462*(0.3)</f>
        <v>-4.5444025361538458E-2</v>
      </c>
      <c r="I856">
        <f>-0.151480084538462*(0.3)</f>
        <v>-4.5444025361538458E-2</v>
      </c>
      <c r="J856">
        <f>0.0302960169076923*(0.3)</f>
        <v>9.0888050723076895E-3</v>
      </c>
      <c r="K856">
        <f>-0.151480084538462*(0.3)</f>
        <v>-4.5444025361538458E-2</v>
      </c>
      <c r="L856">
        <f>-0.0742252414238461*(0.3)</f>
        <v>-2.2267572427153843E-2</v>
      </c>
      <c r="M856">
        <f>-0.166628092992308*(0.3)</f>
        <v>-4.9988427897692311E-2</v>
      </c>
      <c r="N856">
        <f>-0.151480084538462*(0.3)</f>
        <v>-4.5444025361538458E-2</v>
      </c>
    </row>
    <row r="857" spans="1:14" x14ac:dyDescent="0.25">
      <c r="A857">
        <f>0.625829704*(0.3)</f>
        <v>0.18774891120000001</v>
      </c>
      <c r="B857">
        <f>-0.0481407464615385*(0.3)</f>
        <v>-1.4442223938461538E-2</v>
      </c>
      <c r="C857">
        <f>-0.144422239384615*(0.3)</f>
        <v>-4.3326671815384618E-2</v>
      </c>
      <c r="D857">
        <f>-0.0481407464615385*(0.3)</f>
        <v>-1.4442223938461538E-2</v>
      </c>
      <c r="E857">
        <f>-0.0481407464615385*(0.3)</f>
        <v>-1.4442223938461538E-2</v>
      </c>
      <c r="F857">
        <f>-0.0481407464615385*(0.3)</f>
        <v>-1.4442223938461538E-2</v>
      </c>
      <c r="G857">
        <f>-0.0288844478769231*(0.3)</f>
        <v>-8.6653343630769229E-3</v>
      </c>
      <c r="H857">
        <f>-0.0481407464615385*(0.3)</f>
        <v>-1.4442223938461538E-2</v>
      </c>
      <c r="I857">
        <f>-0.0481407464615385*(0.3)</f>
        <v>-1.4442223938461538E-2</v>
      </c>
      <c r="J857">
        <f>0.00962814929230769*(0.3)</f>
        <v>2.8884447876923072E-3</v>
      </c>
      <c r="K857">
        <f>-0.0481407464615385*(0.3)</f>
        <v>-1.4442223938461538E-2</v>
      </c>
      <c r="L857">
        <f>-0.0235889657661538*(0.3)</f>
        <v>-7.0766897298461546E-3</v>
      </c>
      <c r="M857">
        <f>-0.0529548211076923*(0.3)</f>
        <v>-1.5886446332307694E-2</v>
      </c>
      <c r="N857">
        <f>-0.0481407464615385*(0.3)</f>
        <v>-1.4442223938461538E-2</v>
      </c>
    </row>
    <row r="858" spans="1:14" x14ac:dyDescent="0.25">
      <c r="A858">
        <f>-1.87773791*(0.3)</f>
        <v>-0.56332137299999996</v>
      </c>
      <c r="B858">
        <f>0.144441377692308*(0.3)</f>
        <v>4.3332413307692309E-2</v>
      </c>
      <c r="C858">
        <f>0.433324133076923*(0.3)</f>
        <v>0.12999723992307691</v>
      </c>
      <c r="D858">
        <f>0.144441377692308*(0.3)</f>
        <v>4.3332413307692309E-2</v>
      </c>
      <c r="E858">
        <f>0.144441377692308*(0.3)</f>
        <v>4.3332413307692309E-2</v>
      </c>
      <c r="F858">
        <f>0.144441377692308*(0.3)</f>
        <v>4.3332413307692309E-2</v>
      </c>
      <c r="G858">
        <f>0.0866648266153846*(0.3)</f>
        <v>2.5999447984615384E-2</v>
      </c>
      <c r="H858">
        <f>0.144441377692308*(0.3)</f>
        <v>4.3332413307692309E-2</v>
      </c>
      <c r="I858">
        <f>0.144441377692308*(0.3)</f>
        <v>4.3332413307692309E-2</v>
      </c>
      <c r="J858">
        <f>-0.0288882755384615*(0.3)</f>
        <v>-8.6664826615384591E-3</v>
      </c>
      <c r="K858">
        <f>0.144441377692308*(0.3)</f>
        <v>4.3332413307692309E-2</v>
      </c>
      <c r="L858">
        <f>0.0707762750692308*(0.3)</f>
        <v>2.1232882520769231E-2</v>
      </c>
      <c r="M858">
        <f>0.158885515461538*(0.3)</f>
        <v>4.7665654638461542E-2</v>
      </c>
      <c r="N858">
        <f>0.144441377692308*(0.3)</f>
        <v>4.3332413307692309E-2</v>
      </c>
    </row>
    <row r="859" spans="1:14" x14ac:dyDescent="0.25">
      <c r="A859">
        <f>1.110013842*(0.3)</f>
        <v>0.33300415259999999</v>
      </c>
      <c r="B859">
        <f>-0.0853856801538462*(0.3)</f>
        <v>-2.5615704046153848E-2</v>
      </c>
      <c r="C859">
        <f>-0.256157040461538*(0.3)</f>
        <v>-7.6847112138461543E-2</v>
      </c>
      <c r="D859">
        <f>-0.0853856801538462*(0.3)</f>
        <v>-2.5615704046153848E-2</v>
      </c>
      <c r="E859">
        <f>-0.0853856801538462*(0.3)</f>
        <v>-2.5615704046153848E-2</v>
      </c>
      <c r="F859">
        <f>-0.0853856801538462*(0.3)</f>
        <v>-2.5615704046153848E-2</v>
      </c>
      <c r="G859">
        <f>-0.0512314080923077*(0.3)</f>
        <v>-1.5369422427692308E-2</v>
      </c>
      <c r="H859">
        <f>-0.0853856801538462*(0.3)</f>
        <v>-2.5615704046153848E-2</v>
      </c>
      <c r="I859">
        <f>-0.0853856801538462*(0.3)</f>
        <v>-2.5615704046153848E-2</v>
      </c>
      <c r="J859">
        <f>0.0170771360307692*(0.3)</f>
        <v>5.1231408092307692E-3</v>
      </c>
      <c r="K859">
        <f>-0.0853856801538462*(0.3)</f>
        <v>-2.5615704046153848E-2</v>
      </c>
      <c r="L859">
        <f>-0.0418389832753846*(0.3)</f>
        <v>-1.2551694982615385E-2</v>
      </c>
      <c r="M859">
        <f>-0.0939242481692308*(0.3)</f>
        <v>-2.8177274450769233E-2</v>
      </c>
      <c r="N859">
        <f>-0.0853856801538462*(0.3)</f>
        <v>-2.5615704046153848E-2</v>
      </c>
    </row>
    <row r="860" spans="1:14" x14ac:dyDescent="0.25">
      <c r="A860">
        <f>-0.142968268*(0.3)</f>
        <v>-4.28904804E-2</v>
      </c>
      <c r="B860">
        <f>0.0109975590769231*(0.3)</f>
        <v>3.2992677230769232E-3</v>
      </c>
      <c r="C860">
        <f>0.0329926772307692*(0.3)</f>
        <v>9.8978031692307702E-3</v>
      </c>
      <c r="D860">
        <f>0.0109975590769231*(0.3)</f>
        <v>3.2992677230769232E-3</v>
      </c>
      <c r="E860">
        <f>0.0109975590769231*(0.3)</f>
        <v>3.2992677230769232E-3</v>
      </c>
      <c r="F860">
        <f>0.0109975590769231*(0.3)</f>
        <v>3.2992677230769232E-3</v>
      </c>
      <c r="G860">
        <f>0.00659853544615385*(0.3)</f>
        <v>1.9795606338461539E-3</v>
      </c>
      <c r="H860">
        <f>0.0109975590769231*(0.3)</f>
        <v>3.2992677230769232E-3</v>
      </c>
      <c r="I860">
        <f>0.0109975590769231*(0.3)</f>
        <v>3.2992677230769232E-3</v>
      </c>
      <c r="J860">
        <f>-0.00219951181538462*(0.3)</f>
        <v>-6.5985354461538454E-4</v>
      </c>
      <c r="K860">
        <f>0.0109975590769231*(0.3)</f>
        <v>3.2992677230769232E-3</v>
      </c>
      <c r="L860">
        <f>0.00538880394769231*(0.3)</f>
        <v>1.6166411843076922E-3</v>
      </c>
      <c r="M860">
        <f>0.0120973149846154*(0.3)</f>
        <v>3.6291944953846158E-3</v>
      </c>
      <c r="N860">
        <f>0.0109975590769231*(0.3)</f>
        <v>3.2992677230769232E-3</v>
      </c>
    </row>
    <row r="861" spans="1:14" x14ac:dyDescent="0.25">
      <c r="A861">
        <f>1.190833946*(0.3)</f>
        <v>0.35725018379999995</v>
      </c>
      <c r="B861">
        <f>-0.0916026112307692*(0.3)</f>
        <v>-2.7480783369230766E-2</v>
      </c>
      <c r="C861">
        <f>-0.274807833692308*(0.3)</f>
        <v>-8.2442350107692297E-2</v>
      </c>
      <c r="D861">
        <f>-0.0916026112307692*(0.3)</f>
        <v>-2.7480783369230766E-2</v>
      </c>
      <c r="E861">
        <f>-0.0916026112307692*(0.3)</f>
        <v>-2.7480783369230766E-2</v>
      </c>
      <c r="F861">
        <f>-0.0916026112307692*(0.3)</f>
        <v>-2.7480783369230766E-2</v>
      </c>
      <c r="G861">
        <f>-0.0549615667384615*(0.3)</f>
        <v>-1.648847002153846E-2</v>
      </c>
      <c r="H861">
        <f>-0.0916026112307692*(0.3)</f>
        <v>-2.7480783369230766E-2</v>
      </c>
      <c r="I861">
        <f>-0.0916026112307692*(0.3)</f>
        <v>-2.7480783369230766E-2</v>
      </c>
      <c r="J861">
        <f>0.0183205222461538*(0.3)</f>
        <v>5.4961566738461519E-3</v>
      </c>
      <c r="K861">
        <f>-0.0916026112307692*(0.3)</f>
        <v>-2.7480783369230766E-2</v>
      </c>
      <c r="L861">
        <f>-0.0448852795030769*(0.3)</f>
        <v>-1.3465583850923077E-2</v>
      </c>
      <c r="M861">
        <f>-0.100762872353846*(0.3)</f>
        <v>-3.0228861706153843E-2</v>
      </c>
      <c r="N861">
        <f>-0.0916026112307692*(0.3)</f>
        <v>-2.7480783369230766E-2</v>
      </c>
    </row>
    <row r="862" spans="1:14" x14ac:dyDescent="0.25">
      <c r="A862">
        <f>0.545149231*(0.3)</f>
        <v>0.1635447693</v>
      </c>
      <c r="B862">
        <f>-0.0419345562307692*(0.3)</f>
        <v>-1.258036686923077E-2</v>
      </c>
      <c r="C862">
        <f>-0.125803668692308*(0.3)</f>
        <v>-3.7741100607692306E-2</v>
      </c>
      <c r="D862">
        <f>-0.0419345562307692*(0.3)</f>
        <v>-1.258036686923077E-2</v>
      </c>
      <c r="E862">
        <f>-0.0419345562307692*(0.3)</f>
        <v>-1.258036686923077E-2</v>
      </c>
      <c r="F862">
        <f>-0.0419345562307692*(0.3)</f>
        <v>-1.258036686923077E-2</v>
      </c>
      <c r="G862">
        <f>-0.0251607337384615*(0.3)</f>
        <v>-7.5482201215384612E-3</v>
      </c>
      <c r="H862">
        <f>-0.0419345562307692*(0.3)</f>
        <v>-1.258036686923077E-2</v>
      </c>
      <c r="I862">
        <f>-0.0419345562307692*(0.3)</f>
        <v>-1.258036686923077E-2</v>
      </c>
      <c r="J862">
        <f>0.00838691124615385*(0.3)</f>
        <v>2.5160733738461539E-3</v>
      </c>
      <c r="K862">
        <f>-0.0419345562307692*(0.3)</f>
        <v>-1.258036686923077E-2</v>
      </c>
      <c r="L862">
        <f>-0.0205479325530769*(0.3)</f>
        <v>-6.1643797659230778E-3</v>
      </c>
      <c r="M862">
        <f>-0.0461280118538462*(0.3)</f>
        <v>-1.383840355615385E-2</v>
      </c>
      <c r="N862">
        <f>-0.0419345562307692*(0.3)</f>
        <v>-1.258036686923077E-2</v>
      </c>
    </row>
    <row r="863" spans="1:14" x14ac:dyDescent="0.25">
      <c r="A863">
        <f>-1.353696358*(0.3)</f>
        <v>-0.4061089074</v>
      </c>
      <c r="B863">
        <f>0.104130489076923*(0.3)</f>
        <v>3.1239146723076924E-2</v>
      </c>
      <c r="C863">
        <f>0.312391467230769*(0.3)</f>
        <v>9.3717440169230781E-2</v>
      </c>
      <c r="D863">
        <f>0.104130489076923*(0.3)</f>
        <v>3.1239146723076924E-2</v>
      </c>
      <c r="E863">
        <f>0.104130489076923*(0.3)</f>
        <v>3.1239146723076924E-2</v>
      </c>
      <c r="F863">
        <f>0.104130489076923*(0.3)</f>
        <v>3.1239146723076924E-2</v>
      </c>
      <c r="G863">
        <f>0.0624782934461538*(0.3)</f>
        <v>1.8743488033846154E-2</v>
      </c>
      <c r="H863">
        <f>0.104130489076923*(0.3)</f>
        <v>3.1239146723076924E-2</v>
      </c>
      <c r="I863">
        <f>0.104130489076923*(0.3)</f>
        <v>3.1239146723076924E-2</v>
      </c>
      <c r="J863">
        <f>-0.0208260978153846*(0.3)</f>
        <v>-6.2478293446153839E-3</v>
      </c>
      <c r="K863">
        <f>0.104130489076923*(0.3)</f>
        <v>3.1239146723076924E-2</v>
      </c>
      <c r="L863">
        <f>0.0510239396476923*(0.3)</f>
        <v>1.5307181894307693E-2</v>
      </c>
      <c r="M863">
        <f>0.114543537984615*(0.3)</f>
        <v>3.4363061395384621E-2</v>
      </c>
      <c r="N863">
        <f>0.104130489076923*(0.3)</f>
        <v>3.1239146723076924E-2</v>
      </c>
    </row>
    <row r="864" spans="1:14" x14ac:dyDescent="0.25">
      <c r="A864">
        <f>-1.615756648*(0.3)</f>
        <v>-0.4847269944</v>
      </c>
      <c r="B864">
        <f>0.124288972923077*(0.3)</f>
        <v>3.728669187692308E-2</v>
      </c>
      <c r="C864">
        <f>0.372866918769231*(0.3)</f>
        <v>0.11186007563076923</v>
      </c>
      <c r="D864">
        <f>0.124288972923077*(0.3)</f>
        <v>3.728669187692308E-2</v>
      </c>
      <c r="E864">
        <f>0.124288972923077*(0.3)</f>
        <v>3.728669187692308E-2</v>
      </c>
      <c r="F864">
        <f>0.124288972923077*(0.3)</f>
        <v>3.728669187692308E-2</v>
      </c>
      <c r="G864">
        <f>0.0745733837538462*(0.3)</f>
        <v>2.2372015126153846E-2</v>
      </c>
      <c r="H864">
        <f>0.124288972923077*(0.3)</f>
        <v>3.728669187692308E-2</v>
      </c>
      <c r="I864">
        <f>0.124288972923077*(0.3)</f>
        <v>3.728669187692308E-2</v>
      </c>
      <c r="J864">
        <f>-0.0248577945846154*(0.3)</f>
        <v>-7.4573383753846131E-3</v>
      </c>
      <c r="K864">
        <f>0.124288972923077*(0.3)</f>
        <v>3.728669187692308E-2</v>
      </c>
      <c r="L864">
        <f>0.0609015967323077*(0.3)</f>
        <v>1.8270479019692309E-2</v>
      </c>
      <c r="M864">
        <f>0.136717870215385*(0.3)</f>
        <v>4.101536106461539E-2</v>
      </c>
      <c r="N864">
        <f>0.124288972923077*(0.3)</f>
        <v>3.728669187692308E-2</v>
      </c>
    </row>
    <row r="865" spans="1:14" x14ac:dyDescent="0.25">
      <c r="A865">
        <f>-13.71559529*(0.3)</f>
        <v>-4.1146785869999993</v>
      </c>
      <c r="B865">
        <f>1.05504579153846*(0.3)</f>
        <v>0.31651373746153844</v>
      </c>
      <c r="C865">
        <f>3.16513737461538*(0.3)</f>
        <v>0.94954121238461531</v>
      </c>
      <c r="D865">
        <f>1.05504579153846*(0.3)</f>
        <v>0.31651373746153844</v>
      </c>
      <c r="E865">
        <f>1.05504579153846*(0.3)</f>
        <v>0.31651373746153844</v>
      </c>
      <c r="F865">
        <f>1.05504579153846*(0.3)</f>
        <v>0.31651373746153844</v>
      </c>
      <c r="G865">
        <f>0.633027474923077*(0.3)</f>
        <v>0.18990824247692306</v>
      </c>
      <c r="H865">
        <f>1.05504579153846*(0.3)</f>
        <v>0.31651373746153844</v>
      </c>
      <c r="I865">
        <f>1.05504579153846*(0.3)</f>
        <v>0.31651373746153844</v>
      </c>
      <c r="J865">
        <f>-0.211009158307692*(0.3)</f>
        <v>-6.3302747492307673E-2</v>
      </c>
      <c r="K865">
        <f>1.05504579153846*(0.3)</f>
        <v>0.31651373746153844</v>
      </c>
      <c r="L865">
        <f>0.516972437853846*(0.3)</f>
        <v>0.15509173135615381</v>
      </c>
      <c r="M865">
        <f>1.16055037069231*(0.3)</f>
        <v>0.34816511120769228</v>
      </c>
      <c r="N865">
        <f>1.05504579153846*(0.3)</f>
        <v>0.31651373746153844</v>
      </c>
    </row>
    <row r="866" spans="1:14" x14ac:dyDescent="0.25">
      <c r="A866">
        <f>1.783752963*(0.3)</f>
        <v>0.53512588890000001</v>
      </c>
      <c r="B866">
        <f>-0.137211766384615*(0.3)</f>
        <v>-4.1163529915384613E-2</v>
      </c>
      <c r="C866">
        <f>-0.411635299153846*(0.3)</f>
        <v>-0.12349058974615383</v>
      </c>
      <c r="D866">
        <f>-0.137211766384615*(0.3)</f>
        <v>-4.1163529915384613E-2</v>
      </c>
      <c r="E866">
        <f>-0.137211766384615*(0.3)</f>
        <v>-4.1163529915384613E-2</v>
      </c>
      <c r="F866">
        <f>-0.137211766384615*(0.3)</f>
        <v>-4.1163529915384613E-2</v>
      </c>
      <c r="G866">
        <f>-0.0823270598307692*(0.3)</f>
        <v>-2.4698117949230766E-2</v>
      </c>
      <c r="H866">
        <f>-0.137211766384615*(0.3)</f>
        <v>-4.1163529915384613E-2</v>
      </c>
      <c r="I866">
        <f>-0.137211766384615*(0.3)</f>
        <v>-4.1163529915384613E-2</v>
      </c>
      <c r="J866">
        <f>0.0274423532769231*(0.3)</f>
        <v>8.2327059830769201E-3</v>
      </c>
      <c r="K866">
        <f>-0.137211766384615*(0.3)</f>
        <v>-4.1163529915384613E-2</v>
      </c>
      <c r="L866">
        <f>-0.0672337655284615*(0.3)</f>
        <v>-2.0170129658538462E-2</v>
      </c>
      <c r="M866">
        <f>-0.150932943023077*(0.3)</f>
        <v>-4.5279882906923079E-2</v>
      </c>
      <c r="N866">
        <f>-0.137211766384615*(0.3)</f>
        <v>-4.1163529915384613E-2</v>
      </c>
    </row>
    <row r="867" spans="1:14" x14ac:dyDescent="0.25">
      <c r="A867">
        <f>-24.93886596*(0.3)</f>
        <v>-7.481659788</v>
      </c>
      <c r="B867">
        <f>1.91837430461538*(0.3)</f>
        <v>0.57551229138461535</v>
      </c>
      <c r="C867">
        <f>5.75512291384615*(0.3)</f>
        <v>1.7265368741538463</v>
      </c>
      <c r="D867">
        <f>1.91837430461538*(0.3)</f>
        <v>0.57551229138461535</v>
      </c>
      <c r="E867">
        <f>1.91837430461538*(0.3)</f>
        <v>0.57551229138461535</v>
      </c>
      <c r="F867">
        <f>1.91837430461538*(0.3)</f>
        <v>0.57551229138461535</v>
      </c>
      <c r="G867">
        <f>1.15102458276923*(0.3)</f>
        <v>0.34530737483076918</v>
      </c>
      <c r="H867">
        <f>1.91837430461538*(0.3)</f>
        <v>0.57551229138461535</v>
      </c>
      <c r="I867">
        <f>1.91837430461538*(0.3)</f>
        <v>0.57551229138461535</v>
      </c>
      <c r="J867">
        <f>-0.383674860923077*(0.3)</f>
        <v>-0.11510245827692304</v>
      </c>
      <c r="K867">
        <f>1.91837430461538*(0.3)</f>
        <v>0.57551229138461535</v>
      </c>
      <c r="L867">
        <f>0.940003409261538*(0.3)</f>
        <v>0.28200102277846151</v>
      </c>
      <c r="M867">
        <f>2.11021173507692*(0.3)</f>
        <v>0.63306352052307702</v>
      </c>
      <c r="N867">
        <f>1.91837430461538*(0.3)</f>
        <v>0.57551229138461535</v>
      </c>
    </row>
    <row r="868" spans="1:14" x14ac:dyDescent="0.25">
      <c r="A868">
        <f>-1.006610706*(0.3)</f>
        <v>-0.30198321179999998</v>
      </c>
      <c r="B868">
        <f>0.0774315927692308*(0.3)</f>
        <v>2.322947783076923E-2</v>
      </c>
      <c r="C868">
        <f>0.232294778307692*(0.3)</f>
        <v>6.9688433492307689E-2</v>
      </c>
      <c r="D868">
        <f>0.0774315927692308*(0.3)</f>
        <v>2.322947783076923E-2</v>
      </c>
      <c r="E868">
        <f>0.0774315927692308*(0.3)</f>
        <v>2.322947783076923E-2</v>
      </c>
      <c r="F868">
        <f>0.0774315927692308*(0.3)</f>
        <v>2.322947783076923E-2</v>
      </c>
      <c r="G868">
        <f>0.0464589556615385*(0.3)</f>
        <v>1.3937686698461538E-2</v>
      </c>
      <c r="H868">
        <f>0.0774315927692308*(0.3)</f>
        <v>2.322947783076923E-2</v>
      </c>
      <c r="I868">
        <f>0.0774315927692308*(0.3)</f>
        <v>2.322947783076923E-2</v>
      </c>
      <c r="J868">
        <f>-0.0154863185538462*(0.3)</f>
        <v>-4.6458955661538449E-3</v>
      </c>
      <c r="K868">
        <f>0.0774315927692308*(0.3)</f>
        <v>2.322947783076923E-2</v>
      </c>
      <c r="L868">
        <f>0.0379414804569231*(0.3)</f>
        <v>1.1382444137076923E-2</v>
      </c>
      <c r="M868">
        <f>0.0851747520461539*(0.3)</f>
        <v>2.5552425613846155E-2</v>
      </c>
      <c r="N868">
        <f>0.0774315927692308*(0.3)</f>
        <v>2.322947783076923E-2</v>
      </c>
    </row>
    <row r="869" spans="1:14" x14ac:dyDescent="0.25">
      <c r="A869">
        <f>-36.16091353*(0.3)</f>
        <v>-10.848274059</v>
      </c>
      <c r="B869">
        <f>2.78160873307692*(0.3)</f>
        <v>0.83448261992307693</v>
      </c>
      <c r="C869">
        <f>8.34482619923077*(0.3)</f>
        <v>2.5034478597692309</v>
      </c>
      <c r="D869">
        <f>2.78160873307692*(0.3)</f>
        <v>0.83448261992307693</v>
      </c>
      <c r="E869">
        <f>2.78160873307692*(0.3)</f>
        <v>0.83448261992307693</v>
      </c>
      <c r="F869">
        <f>2.78160873307692*(0.3)</f>
        <v>0.83448261992307693</v>
      </c>
      <c r="G869">
        <f>1.66896523984615*(0.3)</f>
        <v>0.50068957195384611</v>
      </c>
      <c r="H869">
        <f>2.78160873307692*(0.3)</f>
        <v>0.83448261992307693</v>
      </c>
      <c r="I869">
        <f>2.78160873307692*(0.3)</f>
        <v>0.83448261992307693</v>
      </c>
      <c r="J869">
        <f>-0.556321746615384*(0.3)</f>
        <v>-0.16689652398461532</v>
      </c>
      <c r="K869">
        <f>2.78160873307692*(0.3)</f>
        <v>0.83448261992307693</v>
      </c>
      <c r="L869">
        <f>1.36298827920769*(0.3)</f>
        <v>0.40889648376230764</v>
      </c>
      <c r="M869">
        <f>3.05976960638462*(0.3)</f>
        <v>0.91793088191538463</v>
      </c>
      <c r="N869">
        <f>2.78160873307692*(0.3)</f>
        <v>0.83448261992307693</v>
      </c>
    </row>
    <row r="870" spans="1:14" x14ac:dyDescent="0.25">
      <c r="A870">
        <f>-1.247226457*(0.3)</f>
        <v>-0.37416793710000001</v>
      </c>
      <c r="B870">
        <f>0.0959404966923077*(0.3)</f>
        <v>2.8782149007692309E-2</v>
      </c>
      <c r="C870">
        <f>0.287821490076923*(0.3)</f>
        <v>8.6346447023076922E-2</v>
      </c>
      <c r="D870">
        <f>0.0959404966923077*(0.3)</f>
        <v>2.8782149007692309E-2</v>
      </c>
      <c r="E870">
        <f>0.0959404966923077*(0.3)</f>
        <v>2.8782149007692309E-2</v>
      </c>
      <c r="F870">
        <f>0.0959404966923077*(0.3)</f>
        <v>2.8782149007692309E-2</v>
      </c>
      <c r="G870">
        <f>0.0575642980153846*(0.3)</f>
        <v>1.7269289404615383E-2</v>
      </c>
      <c r="H870">
        <f>0.0959404966923077*(0.3)</f>
        <v>2.8782149007692309E-2</v>
      </c>
      <c r="I870">
        <f>0.0959404966923077*(0.3)</f>
        <v>2.8782149007692309E-2</v>
      </c>
      <c r="J870">
        <f>-0.0191880993384615*(0.3)</f>
        <v>-5.756429801538461E-3</v>
      </c>
      <c r="K870">
        <f>0.0959404966923077*(0.3)</f>
        <v>2.8782149007692309E-2</v>
      </c>
      <c r="L870">
        <f>0.0470108433792308*(0.3)</f>
        <v>1.410325301376923E-2</v>
      </c>
      <c r="M870">
        <f>0.105534546361538*(0.3)</f>
        <v>3.1660363908461539E-2</v>
      </c>
      <c r="N870">
        <f>0.0959404966923077*(0.3)</f>
        <v>2.8782149007692309E-2</v>
      </c>
    </row>
    <row r="871" spans="1:14" x14ac:dyDescent="0.25">
      <c r="A871">
        <f>-41.25482885*(0.3)</f>
        <v>-12.376448655000001</v>
      </c>
      <c r="B871">
        <f>3.17344837307692*(0.3)</f>
        <v>0.95203451192307686</v>
      </c>
      <c r="C871">
        <f>9.52034511923077*(0.3)</f>
        <v>2.8561035357692308</v>
      </c>
      <c r="D871">
        <f>3.17344837307692*(0.3)</f>
        <v>0.95203451192307686</v>
      </c>
      <c r="E871">
        <f>3.17344837307692*(0.3)</f>
        <v>0.95203451192307686</v>
      </c>
      <c r="F871">
        <f>3.17344837307692*(0.3)</f>
        <v>0.95203451192307686</v>
      </c>
      <c r="G871">
        <f>1.90406902384615*(0.3)</f>
        <v>0.5712207071538461</v>
      </c>
      <c r="H871">
        <f>3.17344837307692*(0.3)</f>
        <v>0.95203451192307686</v>
      </c>
      <c r="I871">
        <f>3.17344837307692*(0.3)</f>
        <v>0.95203451192307686</v>
      </c>
      <c r="J871">
        <f>-0.634689674615385*(0.3)</f>
        <v>-0.19040690238461536</v>
      </c>
      <c r="K871">
        <f>3.17344837307692*(0.3)</f>
        <v>0.95203451192307686</v>
      </c>
      <c r="L871">
        <f>1.55498970280769*(0.3)</f>
        <v>0.46649691084230765</v>
      </c>
      <c r="M871">
        <f>3.49079321038462*(0.3)</f>
        <v>1.0472379631153848</v>
      </c>
      <c r="N871">
        <f>3.17344837307692*(0.3)</f>
        <v>0.95203451192307686</v>
      </c>
    </row>
    <row r="872" spans="1:14" x14ac:dyDescent="0.25">
      <c r="A872">
        <f>0.898662518*(0.3)</f>
        <v>0.2695987554</v>
      </c>
      <c r="B872">
        <f>-0.069127886*(0.3)</f>
        <v>-2.0738365799999998E-2</v>
      </c>
      <c r="C872">
        <f>-0.207383658*(0.3)</f>
        <v>-6.2215097399999995E-2</v>
      </c>
      <c r="D872">
        <f>-0.069127886*(0.3)</f>
        <v>-2.0738365799999998E-2</v>
      </c>
      <c r="E872">
        <f>-0.069127886*(0.3)</f>
        <v>-2.0738365799999998E-2</v>
      </c>
      <c r="F872">
        <f>-0.069127886*(0.3)</f>
        <v>-2.0738365799999998E-2</v>
      </c>
      <c r="G872">
        <f>-0.0414767316*(0.3)</f>
        <v>-1.2443019479999999E-2</v>
      </c>
      <c r="H872">
        <f>-0.069127886*(0.3)</f>
        <v>-2.0738365799999998E-2</v>
      </c>
      <c r="I872">
        <f>-0.069127886*(0.3)</f>
        <v>-2.0738365799999998E-2</v>
      </c>
      <c r="J872">
        <f>0.0138255772*(0.3)</f>
        <v>4.1476731599999987E-3</v>
      </c>
      <c r="K872">
        <f>-0.069127886*(0.3)</f>
        <v>-2.0738365799999998E-2</v>
      </c>
      <c r="L872">
        <f>-0.03387266414*(0.3)</f>
        <v>-1.0161799242000001E-2</v>
      </c>
      <c r="M872">
        <f>-0.0760406746*(0.3)</f>
        <v>-2.2812202380000004E-2</v>
      </c>
      <c r="N872">
        <f>-0.069127886*(0.3)</f>
        <v>-2.0738365799999998E-2</v>
      </c>
    </row>
    <row r="873" spans="1:14" x14ac:dyDescent="0.25">
      <c r="A873">
        <f>-52.99356402*(0.3)</f>
        <v>-15.898069205999999</v>
      </c>
      <c r="B873">
        <f>4.07642800153846*(0.3)</f>
        <v>1.2229284004615384</v>
      </c>
      <c r="C873">
        <f>12.2292840046154*(0.3)</f>
        <v>3.6687852013846154</v>
      </c>
      <c r="D873">
        <f>4.07642800153846*(0.3)</f>
        <v>1.2229284004615384</v>
      </c>
      <c r="E873">
        <f>4.07642800153846*(0.3)</f>
        <v>1.2229284004615384</v>
      </c>
      <c r="F873">
        <f>4.07642800153846*(0.3)</f>
        <v>1.2229284004615384</v>
      </c>
      <c r="G873">
        <f>2.44585680092308*(0.3)</f>
        <v>0.73375704027692301</v>
      </c>
      <c r="H873">
        <f>4.07642800153846*(0.3)</f>
        <v>1.2229284004615384</v>
      </c>
      <c r="I873">
        <f>4.07642800153846*(0.3)</f>
        <v>1.2229284004615384</v>
      </c>
      <c r="J873">
        <f>-0.815285600307692*(0.3)</f>
        <v>-0.24458568009230763</v>
      </c>
      <c r="K873">
        <f>4.07642800153846*(0.3)</f>
        <v>1.2229284004615384</v>
      </c>
      <c r="L873">
        <f>1.99744972075385*(0.3)</f>
        <v>0.59923491622615388</v>
      </c>
      <c r="M873">
        <f>4.48407080169231*(0.3)</f>
        <v>1.3452212405076924</v>
      </c>
      <c r="N873">
        <f>4.07642800153846*(0.3)</f>
        <v>1.2229284004615384</v>
      </c>
    </row>
    <row r="874" spans="1:14" x14ac:dyDescent="0.25">
      <c r="A874">
        <f>0.047131015*(0.3)</f>
        <v>1.4139304499999998E-2</v>
      </c>
      <c r="B874">
        <f>-0.00362546269230769*(0.3)</f>
        <v>-1.0876388076923077E-3</v>
      </c>
      <c r="C874">
        <f>-0.0108763880769231*(0.3)</f>
        <v>-3.2629164230769227E-3</v>
      </c>
      <c r="D874">
        <f>-0.00362546269230769*(0.3)</f>
        <v>-1.0876388076923077E-3</v>
      </c>
      <c r="E874">
        <f>-0.00362546269230769*(0.3)</f>
        <v>-1.0876388076923077E-3</v>
      </c>
      <c r="F874">
        <f>-0.00362546269230769*(0.3)</f>
        <v>-1.0876388076923077E-3</v>
      </c>
      <c r="G874">
        <f>-0.00217527761538462*(0.3)</f>
        <v>-6.5258328461538463E-4</v>
      </c>
      <c r="H874">
        <f>-0.00362546269230769*(0.3)</f>
        <v>-1.0876388076923077E-3</v>
      </c>
      <c r="I874">
        <f>-0.00362546269230769*(0.3)</f>
        <v>-1.0876388076923077E-3</v>
      </c>
      <c r="J874">
        <f>0.000725092538461538*(0.3)</f>
        <v>2.1752776153846152E-4</v>
      </c>
      <c r="K874">
        <f>-0.00362546269230769*(0.3)</f>
        <v>-1.0876388076923077E-3</v>
      </c>
      <c r="L874">
        <f>-0.00177647671923077*(0.3)</f>
        <v>-5.3294301576923078E-4</v>
      </c>
      <c r="M874">
        <f>-0.00398800896153846*(0.3)</f>
        <v>-1.1964026884615385E-3</v>
      </c>
      <c r="N874">
        <f>-0.00362546269230769*(0.3)</f>
        <v>-1.0876388076923077E-3</v>
      </c>
    </row>
    <row r="875" spans="1:14" x14ac:dyDescent="0.25">
      <c r="A875">
        <f>-62.97973363*(0.3)</f>
        <v>-18.893920088999998</v>
      </c>
      <c r="B875">
        <f>4.84459489461538*(0.3)</f>
        <v>1.4533784683846152</v>
      </c>
      <c r="C875">
        <f>14.5337846838462*(0.3)</f>
        <v>4.3601354051538461</v>
      </c>
      <c r="D875">
        <f>4.84459489461538*(0.3)</f>
        <v>1.4533784683846152</v>
      </c>
      <c r="E875">
        <f>4.84459489461538*(0.3)</f>
        <v>1.4533784683846152</v>
      </c>
      <c r="F875">
        <f>4.84459489461538*(0.3)</f>
        <v>1.4533784683846152</v>
      </c>
      <c r="G875">
        <f>2.90675693676923*(0.3)</f>
        <v>0.87202708103076909</v>
      </c>
      <c r="H875">
        <f>4.84459489461538*(0.3)</f>
        <v>1.4533784683846152</v>
      </c>
      <c r="I875">
        <f>4.84459489461538*(0.3)</f>
        <v>1.4533784683846152</v>
      </c>
      <c r="J875">
        <f>-0.968918978923077*(0.3)</f>
        <v>-0.29067569367692297</v>
      </c>
      <c r="K875">
        <f>4.84459489461538*(0.3)</f>
        <v>1.4533784683846152</v>
      </c>
      <c r="L875">
        <f>2.37385149836154*(0.3)</f>
        <v>0.71215544950846155</v>
      </c>
      <c r="M875">
        <f>5.32905438407692*(0.3)</f>
        <v>1.598716315223077</v>
      </c>
      <c r="N875">
        <f>4.84459489461538*(0.3)</f>
        <v>1.4533784683846152</v>
      </c>
    </row>
    <row r="876" spans="1:14" x14ac:dyDescent="0.25">
      <c r="A876">
        <f>0.709461545*(0.3)</f>
        <v>0.21283846349999999</v>
      </c>
      <c r="B876">
        <f>-0.054573965*(0.3)</f>
        <v>-1.6372189499999999E-2</v>
      </c>
      <c r="C876">
        <f>-0.163721895*(0.3)</f>
        <v>-4.9116568499999999E-2</v>
      </c>
      <c r="D876">
        <f>-0.054573965*(0.3)</f>
        <v>-1.6372189499999999E-2</v>
      </c>
      <c r="E876">
        <f>-0.054573965*(0.3)</f>
        <v>-1.6372189499999999E-2</v>
      </c>
      <c r="F876">
        <f>-0.054573965*(0.3)</f>
        <v>-1.6372189499999999E-2</v>
      </c>
      <c r="G876">
        <f>-0.032744379*(0.3)</f>
        <v>-9.8233136999999991E-3</v>
      </c>
      <c r="H876">
        <f>-0.054573965*(0.3)</f>
        <v>-1.6372189499999999E-2</v>
      </c>
      <c r="I876">
        <f>-0.054573965*(0.3)</f>
        <v>-1.6372189499999999E-2</v>
      </c>
      <c r="J876">
        <f>0.010914793*(0.3)</f>
        <v>3.2744378999999993E-3</v>
      </c>
      <c r="K876">
        <f>-0.054573965*(0.3)</f>
        <v>-1.6372189499999999E-2</v>
      </c>
      <c r="L876">
        <f>-0.02674124285*(0.3)</f>
        <v>-8.0223728549999995E-3</v>
      </c>
      <c r="M876">
        <f>-0.0600313615*(0.3)</f>
        <v>-1.800940845E-2</v>
      </c>
      <c r="N876">
        <f>-0.054573965*(0.3)</f>
        <v>-1.6372189499999999E-2</v>
      </c>
    </row>
    <row r="877" spans="1:14" x14ac:dyDescent="0.25">
      <c r="A877">
        <f>-70.78350474*(0.3)</f>
        <v>-21.235051421999998</v>
      </c>
      <c r="B877">
        <f>5.44488498*(0.3)</f>
        <v>1.6334654939999997</v>
      </c>
      <c r="C877">
        <f>16.33465494*(0.3)</f>
        <v>4.9003964819999997</v>
      </c>
      <c r="D877">
        <f>5.44488498*(0.3)</f>
        <v>1.6334654939999997</v>
      </c>
      <c r="E877">
        <f>5.44488498*(0.3)</f>
        <v>1.6334654939999997</v>
      </c>
      <c r="F877">
        <f>5.44488498*(0.3)</f>
        <v>1.6334654939999997</v>
      </c>
      <c r="G877">
        <f>3.266930988*(0.3)</f>
        <v>0.9800792963999998</v>
      </c>
      <c r="H877">
        <f>5.44488498*(0.3)</f>
        <v>1.6334654939999997</v>
      </c>
      <c r="I877">
        <f>5.44488498*(0.3)</f>
        <v>1.6334654939999997</v>
      </c>
      <c r="J877">
        <f>-1.088976996*(0.3)</f>
        <v>-0.32669309879999991</v>
      </c>
      <c r="K877">
        <f>5.44488498*(0.3)</f>
        <v>1.6334654939999997</v>
      </c>
      <c r="L877">
        <f>2.6679936402*(0.3)</f>
        <v>0.8003980920599999</v>
      </c>
      <c r="M877">
        <f>5.989373478*(0.3)</f>
        <v>1.7968120433999999</v>
      </c>
      <c r="N877">
        <f>5.44488498*(0.3)</f>
        <v>1.6334654939999997</v>
      </c>
    </row>
    <row r="878" spans="1:14" x14ac:dyDescent="0.25">
      <c r="A878">
        <f>2.030088404*(0.3)</f>
        <v>0.60902652119999989</v>
      </c>
      <c r="B878">
        <f>-0.156160646461538*(0.3)</f>
        <v>-4.6848193938461527E-2</v>
      </c>
      <c r="C878">
        <f>-0.468481939384615*(0.3)</f>
        <v>-0.14054458181538459</v>
      </c>
      <c r="D878">
        <f>-0.156160646461538*(0.3)</f>
        <v>-4.6848193938461527E-2</v>
      </c>
      <c r="E878">
        <f>-0.156160646461538*(0.3)</f>
        <v>-4.6848193938461527E-2</v>
      </c>
      <c r="F878">
        <f>-0.156160646461538*(0.3)</f>
        <v>-4.6848193938461527E-2</v>
      </c>
      <c r="G878">
        <f>-0.0936963878769231*(0.3)</f>
        <v>-2.8108916363076913E-2</v>
      </c>
      <c r="H878">
        <f>-0.156160646461538*(0.3)</f>
        <v>-4.6848193938461527E-2</v>
      </c>
      <c r="I878">
        <f>-0.156160646461538*(0.3)</f>
        <v>-4.6848193938461527E-2</v>
      </c>
      <c r="J878">
        <f>0.0312321292923077*(0.3)</f>
        <v>9.3696387876923033E-3</v>
      </c>
      <c r="K878">
        <f>-0.156160646461538*(0.3)</f>
        <v>-4.6848193938461527E-2</v>
      </c>
      <c r="L878">
        <f>-0.0765187167661538*(0.3)</f>
        <v>-2.2955615029846149E-2</v>
      </c>
      <c r="M878">
        <f>-0.171776711107692*(0.3)</f>
        <v>-5.1533013332307691E-2</v>
      </c>
      <c r="N878">
        <f>-0.156160646461538*(0.3)</f>
        <v>-4.6848193938461527E-2</v>
      </c>
    </row>
    <row r="879" spans="1:14" x14ac:dyDescent="0.25">
      <c r="A879">
        <f>-86.27029466*(0.3)</f>
        <v>-25.881088397999999</v>
      </c>
      <c r="B879">
        <f>6.63617651230769*(0.3)</f>
        <v>1.9908529536923079</v>
      </c>
      <c r="C879">
        <f>19.9085295369231*(0.3)</f>
        <v>5.9725588610769238</v>
      </c>
      <c r="D879">
        <f>6.63617651230769*(0.3)</f>
        <v>1.9908529536923079</v>
      </c>
      <c r="E879">
        <f>6.63617651230769*(0.3)</f>
        <v>1.9908529536923079</v>
      </c>
      <c r="F879">
        <f>6.63617651230769*(0.3)</f>
        <v>1.9908529536923079</v>
      </c>
      <c r="G879">
        <f>3.98170590738462*(0.3)</f>
        <v>1.1945117722153846</v>
      </c>
      <c r="H879">
        <f>6.63617651230769*(0.3)</f>
        <v>1.9908529536923079</v>
      </c>
      <c r="I879">
        <f>6.63617651230769*(0.3)</f>
        <v>1.9908529536923079</v>
      </c>
      <c r="J879">
        <f>-1.32723530246154*(0.3)</f>
        <v>-0.39817059073846145</v>
      </c>
      <c r="K879">
        <f>6.63617651230769*(0.3)</f>
        <v>1.9908529536923079</v>
      </c>
      <c r="L879">
        <f>3.25172649103077*(0.3)</f>
        <v>0.9755179473092308</v>
      </c>
      <c r="M879">
        <f>7.29979416353846*(0.3)</f>
        <v>2.1899382490615387</v>
      </c>
      <c r="N879">
        <f>6.63617651230769*(0.3)</f>
        <v>1.9908529536923079</v>
      </c>
    </row>
    <row r="880" spans="1:14" x14ac:dyDescent="0.25">
      <c r="A880">
        <f>0.134202377*(0.3)</f>
        <v>4.0260713100000005E-2</v>
      </c>
      <c r="B880">
        <f>-0.0103232597692308*(0.3)</f>
        <v>-3.0969779307692311E-3</v>
      </c>
      <c r="C880">
        <f>-0.0309697793076923*(0.3)</f>
        <v>-9.2909337923076929E-3</v>
      </c>
      <c r="D880">
        <f>-0.0103232597692308*(0.3)</f>
        <v>-3.0969779307692311E-3</v>
      </c>
      <c r="E880">
        <f>-0.0103232597692308*(0.3)</f>
        <v>-3.0969779307692311E-3</v>
      </c>
      <c r="F880">
        <f>-0.0103232597692308*(0.3)</f>
        <v>-3.0969779307692311E-3</v>
      </c>
      <c r="G880">
        <f>-0.00619395586153846*(0.3)</f>
        <v>-1.8581867584615385E-3</v>
      </c>
      <c r="H880">
        <f>-0.0103232597692308*(0.3)</f>
        <v>-3.0969779307692311E-3</v>
      </c>
      <c r="I880">
        <f>-0.0103232597692308*(0.3)</f>
        <v>-3.0969779307692311E-3</v>
      </c>
      <c r="J880">
        <f>0.00206465195384615*(0.3)</f>
        <v>6.1939558615384607E-4</v>
      </c>
      <c r="K880">
        <f>-0.0103232597692308*(0.3)</f>
        <v>-3.0969779307692311E-3</v>
      </c>
      <c r="L880">
        <f>-0.00505839728692308*(0.3)</f>
        <v>-1.5175191860769231E-3</v>
      </c>
      <c r="M880">
        <f>-0.0113555857461538*(0.3)</f>
        <v>-3.4066757238461545E-3</v>
      </c>
      <c r="N880">
        <f>-0.0103232597692308*(0.3)</f>
        <v>-3.0969779307692311E-3</v>
      </c>
    </row>
    <row r="881" spans="1:14" x14ac:dyDescent="0.25">
      <c r="A881">
        <f>-6.031107067*(0.3)</f>
        <v>-1.8093321200999999</v>
      </c>
      <c r="B881">
        <f>0.463931312846154*(0.3)</f>
        <v>0.13917939385384615</v>
      </c>
      <c r="C881">
        <f>1.39179393853846*(0.3)</f>
        <v>0.41753818156153844</v>
      </c>
      <c r="D881">
        <f>0.463931312846154*(0.3)</f>
        <v>0.13917939385384615</v>
      </c>
      <c r="E881">
        <f>0.463931312846154*(0.3)</f>
        <v>0.13917939385384615</v>
      </c>
      <c r="F881">
        <f>0.463931312846154*(0.3)</f>
        <v>0.13917939385384615</v>
      </c>
      <c r="G881">
        <f>0.278358787707692*(0.3)</f>
        <v>8.350763631230769E-2</v>
      </c>
      <c r="H881">
        <f>0.463931312846154*(0.3)</f>
        <v>0.13917939385384615</v>
      </c>
      <c r="I881">
        <f>0.463931312846154*(0.3)</f>
        <v>0.13917939385384615</v>
      </c>
      <c r="J881">
        <f>-0.0927862625692308*(0.3)</f>
        <v>-2.7835878770769224E-2</v>
      </c>
      <c r="K881">
        <f>0.463931312846154*(0.3)</f>
        <v>0.13917939385384615</v>
      </c>
      <c r="L881">
        <f>0.227326343294615*(0.3)</f>
        <v>6.8197902988384615E-2</v>
      </c>
      <c r="M881">
        <f>0.510324444130769*(0.3)</f>
        <v>0.15309733323923078</v>
      </c>
      <c r="N881">
        <f>0.463931312846154*(0.3)</f>
        <v>0.13917939385384615</v>
      </c>
    </row>
    <row r="882" spans="1:14" x14ac:dyDescent="0.25">
      <c r="A882">
        <f>0.237506586*(0.3)</f>
        <v>7.1251975799999992E-2</v>
      </c>
      <c r="B882">
        <f>-0.0182697373846154*(0.3)</f>
        <v>-5.4809212153846144E-3</v>
      </c>
      <c r="C882">
        <f>-0.0548092121538461*(0.3)</f>
        <v>-1.6442763646153845E-2</v>
      </c>
      <c r="D882">
        <f>-0.0182697373846154*(0.3)</f>
        <v>-5.4809212153846144E-3</v>
      </c>
      <c r="E882">
        <f>-0.0182697373846154*(0.3)</f>
        <v>-5.4809212153846144E-3</v>
      </c>
      <c r="F882">
        <f>-0.0182697373846154*(0.3)</f>
        <v>-5.4809212153846144E-3</v>
      </c>
      <c r="G882">
        <f>-0.0109618424307692*(0.3)</f>
        <v>-3.2885527292307684E-3</v>
      </c>
      <c r="H882">
        <f>-0.0182697373846154*(0.3)</f>
        <v>-5.4809212153846144E-3</v>
      </c>
      <c r="I882">
        <f>-0.0182697373846154*(0.3)</f>
        <v>-5.4809212153846144E-3</v>
      </c>
      <c r="J882">
        <f>0.00365394747692308*(0.3)</f>
        <v>1.0961842430769226E-3</v>
      </c>
      <c r="K882">
        <f>-0.0182697373846154*(0.3)</f>
        <v>-5.4809212153846144E-3</v>
      </c>
      <c r="L882">
        <f>-0.00895217131846154*(0.3)</f>
        <v>-2.6856513955384608E-3</v>
      </c>
      <c r="M882">
        <f>-0.0200967111230769*(0.3)</f>
        <v>-6.0290133369230768E-3</v>
      </c>
      <c r="N882">
        <f>-0.0182697373846154*(0.3)</f>
        <v>-5.4809212153846144E-3</v>
      </c>
    </row>
    <row r="883" spans="1:14" x14ac:dyDescent="0.25">
      <c r="A883">
        <f>-9.146707178*(0.3)</f>
        <v>-2.7440121533999999</v>
      </c>
      <c r="B883">
        <f>0.703592859846154*(0.3)</f>
        <v>0.21107785795384615</v>
      </c>
      <c r="C883">
        <f>2.11077857953846*(0.3)</f>
        <v>0.63323357386153845</v>
      </c>
      <c r="D883">
        <f>0.703592859846154*(0.3)</f>
        <v>0.21107785795384615</v>
      </c>
      <c r="E883">
        <f>0.703592859846154*(0.3)</f>
        <v>0.21107785795384615</v>
      </c>
      <c r="F883">
        <f>0.703592859846154*(0.3)</f>
        <v>0.21107785795384615</v>
      </c>
      <c r="G883">
        <f>0.422155715907692*(0.3)</f>
        <v>0.12664671477230768</v>
      </c>
      <c r="H883">
        <f>0.703592859846154*(0.3)</f>
        <v>0.21107785795384615</v>
      </c>
      <c r="I883">
        <f>0.703592859846154*(0.3)</f>
        <v>0.21107785795384615</v>
      </c>
      <c r="J883">
        <f>-0.140718571969231*(0.3)</f>
        <v>-4.2215571590769219E-2</v>
      </c>
      <c r="K883">
        <f>0.703592859846154*(0.3)</f>
        <v>0.21107785795384615</v>
      </c>
      <c r="L883">
        <f>0.344760501324615*(0.3)</f>
        <v>0.10342815039738461</v>
      </c>
      <c r="M883">
        <f>0.773952145830769*(0.3)</f>
        <v>0.23218564374923079</v>
      </c>
      <c r="N883">
        <f>0.703592859846154*(0.3)</f>
        <v>0.21107785795384615</v>
      </c>
    </row>
    <row r="884" spans="1:14" x14ac:dyDescent="0.25">
      <c r="A884">
        <f>-0.732000015*(0.3)</f>
        <v>-0.2196000045</v>
      </c>
      <c r="B884">
        <f>0.0563076934615385*(0.3)</f>
        <v>1.6892308038461538E-2</v>
      </c>
      <c r="C884">
        <f>0.168923080384615*(0.3)</f>
        <v>5.067692411538461E-2</v>
      </c>
      <c r="D884">
        <f>0.0563076934615385*(0.3)</f>
        <v>1.6892308038461538E-2</v>
      </c>
      <c r="E884">
        <f>0.0563076934615385*(0.3)</f>
        <v>1.6892308038461538E-2</v>
      </c>
      <c r="F884">
        <f>0.0563076934615385*(0.3)</f>
        <v>1.6892308038461538E-2</v>
      </c>
      <c r="G884">
        <f>0.0337846160769231*(0.3)</f>
        <v>1.0135384823076922E-2</v>
      </c>
      <c r="H884">
        <f>0.0563076934615385*(0.3)</f>
        <v>1.6892308038461538E-2</v>
      </c>
      <c r="I884">
        <f>0.0563076934615385*(0.3)</f>
        <v>1.6892308038461538E-2</v>
      </c>
      <c r="J884">
        <f>-0.0112615386923077*(0.3)</f>
        <v>-3.3784616076923068E-3</v>
      </c>
      <c r="K884">
        <f>0.0563076934615385*(0.3)</f>
        <v>1.6892308038461538E-2</v>
      </c>
      <c r="L884">
        <f>0.0275907697961538*(0.3)</f>
        <v>8.2772309388461536E-3</v>
      </c>
      <c r="M884">
        <f>0.0619384628076923*(0.3)</f>
        <v>1.858153884230769E-2</v>
      </c>
      <c r="N884">
        <f>0.0563076934615385*(0.3)</f>
        <v>1.6892308038461538E-2</v>
      </c>
    </row>
    <row r="885" spans="1:14" x14ac:dyDescent="0.25">
      <c r="A885">
        <f>-9.703629612*(0.3)</f>
        <v>-2.9110888836000002</v>
      </c>
      <c r="B885">
        <f>0.746433047076923*(0.3)</f>
        <v>0.22392991412307695</v>
      </c>
      <c r="C885">
        <f>2.23929914123077*(0.3)</f>
        <v>0.67178974236923072</v>
      </c>
      <c r="D885">
        <f>0.746433047076923*(0.3)</f>
        <v>0.22392991412307695</v>
      </c>
      <c r="E885">
        <f>0.746433047076923*(0.3)</f>
        <v>0.22392991412307695</v>
      </c>
      <c r="F885">
        <f>0.746433047076923*(0.3)</f>
        <v>0.22392991412307695</v>
      </c>
      <c r="G885">
        <f>0.447859828246154*(0.3)</f>
        <v>0.13435794847384616</v>
      </c>
      <c r="H885">
        <f>0.746433047076923*(0.3)</f>
        <v>0.22392991412307695</v>
      </c>
      <c r="I885">
        <f>0.746433047076923*(0.3)</f>
        <v>0.22392991412307695</v>
      </c>
      <c r="J885">
        <f>-0.149286609415385*(0.3)</f>
        <v>-4.4785982824615378E-2</v>
      </c>
      <c r="K885">
        <f>0.746433047076923*(0.3)</f>
        <v>0.22392991412307695</v>
      </c>
      <c r="L885">
        <f>0.365752193067692*(0.3)</f>
        <v>0.10972565792030771</v>
      </c>
      <c r="M885">
        <f>0.821076351784616*(0.3)</f>
        <v>0.24632290553538466</v>
      </c>
      <c r="N885">
        <f>0.746433047076923*(0.3)</f>
        <v>0.22392991412307695</v>
      </c>
    </row>
    <row r="886" spans="1:14" x14ac:dyDescent="0.25">
      <c r="A886">
        <f>3.312650722*(0.3)</f>
        <v>0.99379521659999992</v>
      </c>
      <c r="B886">
        <f>-0.254819286307692*(0.3)</f>
        <v>-7.6445785892307688E-2</v>
      </c>
      <c r="C886">
        <f>-0.764457858923077*(0.3)</f>
        <v>-0.22933735767692304</v>
      </c>
      <c r="D886">
        <f>-0.254819286307692*(0.3)</f>
        <v>-7.6445785892307688E-2</v>
      </c>
      <c r="E886">
        <f>-0.254819286307692*(0.3)</f>
        <v>-7.6445785892307688E-2</v>
      </c>
      <c r="F886">
        <f>-0.254819286307692*(0.3)</f>
        <v>-7.6445785892307688E-2</v>
      </c>
      <c r="G886">
        <f>-0.152891571784615*(0.3)</f>
        <v>-4.5867471535384612E-2</v>
      </c>
      <c r="H886">
        <f>-0.254819286307692*(0.3)</f>
        <v>-7.6445785892307688E-2</v>
      </c>
      <c r="I886">
        <f>-0.254819286307692*(0.3)</f>
        <v>-7.6445785892307688E-2</v>
      </c>
      <c r="J886">
        <f>0.0509638572615384*(0.3)</f>
        <v>1.5289157178461533E-2</v>
      </c>
      <c r="K886">
        <f>-0.254819286307692*(0.3)</f>
        <v>-7.6445785892307688E-2</v>
      </c>
      <c r="L886">
        <f>-0.124861450290769*(0.3)</f>
        <v>-3.7458435087230769E-2</v>
      </c>
      <c r="M886">
        <f>-0.280301214938462*(0.3)</f>
        <v>-8.4090364481538463E-2</v>
      </c>
      <c r="N886">
        <f>-0.254819286307692*(0.3)</f>
        <v>-7.6445785892307688E-2</v>
      </c>
    </row>
    <row r="887" spans="1:14" x14ac:dyDescent="0.25">
      <c r="A887">
        <f>-13.44883301*(0.3)</f>
        <v>-4.034649903</v>
      </c>
      <c r="B887">
        <f>1.03452561615385*(0.3)</f>
        <v>0.31035768484615384</v>
      </c>
      <c r="C887">
        <f>3.10357684846154*(0.3)</f>
        <v>0.93107305453846145</v>
      </c>
      <c r="D887">
        <f>1.03452561615385*(0.3)</f>
        <v>0.31035768484615384</v>
      </c>
      <c r="E887">
        <f>1.03452561615385*(0.3)</f>
        <v>0.31035768484615384</v>
      </c>
      <c r="F887">
        <f>1.03452561615385*(0.3)</f>
        <v>0.31035768484615384</v>
      </c>
      <c r="G887">
        <f>0.620715369692308*(0.3)</f>
        <v>0.18621461090769229</v>
      </c>
      <c r="H887">
        <f>1.03452561615385*(0.3)</f>
        <v>0.31035768484615384</v>
      </c>
      <c r="I887">
        <f>1.03452561615385*(0.3)</f>
        <v>0.31035768484615384</v>
      </c>
      <c r="J887">
        <f>-0.206905123230769*(0.3)</f>
        <v>-6.2071536969230748E-2</v>
      </c>
      <c r="K887">
        <f>1.03452561615385*(0.3)</f>
        <v>0.31035768484615384</v>
      </c>
      <c r="L887">
        <f>0.506917551915385*(0.3)</f>
        <v>0.15207526557461537</v>
      </c>
      <c r="M887">
        <f>1.13797817776923*(0.3)</f>
        <v>0.34139345333076926</v>
      </c>
      <c r="N887">
        <f>1.03452561615385*(0.3)</f>
        <v>0.31035768484615384</v>
      </c>
    </row>
    <row r="888" spans="1:14" x14ac:dyDescent="0.25">
      <c r="A888">
        <f>-1.591432565*(0.3)</f>
        <v>-0.47742976949999999</v>
      </c>
      <c r="B888">
        <f>0.122417889615385*(0.3)</f>
        <v>3.6725366884615383E-2</v>
      </c>
      <c r="C888">
        <f>0.367253668846154*(0.3)</f>
        <v>0.11017610065384616</v>
      </c>
      <c r="D888">
        <f>0.122417889615385*(0.3)</f>
        <v>3.6725366884615383E-2</v>
      </c>
      <c r="E888">
        <f>0.122417889615385*(0.3)</f>
        <v>3.6725366884615383E-2</v>
      </c>
      <c r="F888">
        <f>0.122417889615385*(0.3)</f>
        <v>3.6725366884615383E-2</v>
      </c>
      <c r="G888">
        <f>0.0734507337692308*(0.3)</f>
        <v>2.203522013076923E-2</v>
      </c>
      <c r="H888">
        <f>0.122417889615385*(0.3)</f>
        <v>3.6725366884615383E-2</v>
      </c>
      <c r="I888">
        <f>0.122417889615385*(0.3)</f>
        <v>3.6725366884615383E-2</v>
      </c>
      <c r="J888">
        <f>-0.0244835779230769*(0.3)</f>
        <v>-7.3450733769230758E-3</v>
      </c>
      <c r="K888">
        <f>0.122417889615385*(0.3)</f>
        <v>3.6725366884615383E-2</v>
      </c>
      <c r="L888">
        <f>0.0599847659115385*(0.3)</f>
        <v>1.7995429773461538E-2</v>
      </c>
      <c r="M888">
        <f>0.134659678576923*(0.3)</f>
        <v>4.0397903573076925E-2</v>
      </c>
      <c r="N888">
        <f>0.122417889615385*(0.3)</f>
        <v>3.6725366884615383E-2</v>
      </c>
    </row>
    <row r="889" spans="1:14" x14ac:dyDescent="0.25">
      <c r="A889">
        <f>-17.63033985*(0.3)</f>
        <v>-5.2891019549999996</v>
      </c>
      <c r="B889">
        <f>1.35617998846154*(0.3)</f>
        <v>0.40685399653846149</v>
      </c>
      <c r="C889">
        <f>4.06853996538462*(0.3)</f>
        <v>1.2205619896153845</v>
      </c>
      <c r="D889">
        <f>1.35617998846154*(0.3)</f>
        <v>0.40685399653846149</v>
      </c>
      <c r="E889">
        <f>1.35617998846154*(0.3)</f>
        <v>0.40685399653846149</v>
      </c>
      <c r="F889">
        <f>1.35617998846154*(0.3)</f>
        <v>0.40685399653846149</v>
      </c>
      <c r="G889">
        <f>0.813707993076923*(0.3)</f>
        <v>0.24411239792307687</v>
      </c>
      <c r="H889">
        <f>1.35617998846154*(0.3)</f>
        <v>0.40685399653846149</v>
      </c>
      <c r="I889">
        <f>1.35617998846154*(0.3)</f>
        <v>0.40685399653846149</v>
      </c>
      <c r="J889">
        <f>-0.271235997692308*(0.3)</f>
        <v>-8.1370799307692282E-2</v>
      </c>
      <c r="K889">
        <f>1.35617998846154*(0.3)</f>
        <v>0.40685399653846149</v>
      </c>
      <c r="L889">
        <f>0.664528194346154*(0.3)</f>
        <v>0.19935845830384616</v>
      </c>
      <c r="M889">
        <f>1.49179798730769*(0.3)</f>
        <v>0.4475393961923077</v>
      </c>
      <c r="N889">
        <f>1.35617998846154*(0.3)</f>
        <v>0.40685399653846149</v>
      </c>
    </row>
    <row r="890" spans="1:14" x14ac:dyDescent="0.25">
      <c r="A890">
        <f>-1.896600586*(0.3)</f>
        <v>-0.56898017579999993</v>
      </c>
      <c r="B890">
        <f>0.145892352769231*(0.3)</f>
        <v>4.3767705830769228E-2</v>
      </c>
      <c r="C890">
        <f>0.437677058307692*(0.3)</f>
        <v>0.13130311749230769</v>
      </c>
      <c r="D890">
        <f>0.145892352769231*(0.3)</f>
        <v>4.3767705830769228E-2</v>
      </c>
      <c r="E890">
        <f>0.145892352769231*(0.3)</f>
        <v>4.3767705830769228E-2</v>
      </c>
      <c r="F890">
        <f>0.145892352769231*(0.3)</f>
        <v>4.3767705830769228E-2</v>
      </c>
      <c r="G890">
        <f>0.0875354116615385*(0.3)</f>
        <v>2.6260623498461536E-2</v>
      </c>
      <c r="H890">
        <f>0.145892352769231*(0.3)</f>
        <v>4.3767705830769228E-2</v>
      </c>
      <c r="I890">
        <f>0.145892352769231*(0.3)</f>
        <v>4.3767705830769228E-2</v>
      </c>
      <c r="J890">
        <f>-0.0291784705538461*(0.3)</f>
        <v>-8.7535411661538443E-3</v>
      </c>
      <c r="K890">
        <f>0.145892352769231*(0.3)</f>
        <v>4.3767705830769228E-2</v>
      </c>
      <c r="L890">
        <f>0.0714872528569231*(0.3)</f>
        <v>2.1446175857076921E-2</v>
      </c>
      <c r="M890">
        <f>0.160481588046154*(0.3)</f>
        <v>4.8144476413846157E-2</v>
      </c>
      <c r="N890">
        <f>0.145892352769231*(0.3)</f>
        <v>4.3767705830769228E-2</v>
      </c>
    </row>
    <row r="891" spans="1:14" x14ac:dyDescent="0.25">
      <c r="A891">
        <f>-16.23691939*(0.3)</f>
        <v>-4.8710758170000004</v>
      </c>
      <c r="B891">
        <f>1.24899379923077*(0.3)</f>
        <v>0.37469813976923078</v>
      </c>
      <c r="C891">
        <f>3.74698139769231*(0.3)</f>
        <v>1.1240944193076925</v>
      </c>
      <c r="D891">
        <f>1.24899379923077*(0.3)</f>
        <v>0.37469813976923078</v>
      </c>
      <c r="E891">
        <f>1.24899379923077*(0.3)</f>
        <v>0.37469813976923078</v>
      </c>
      <c r="F891">
        <f>1.24899379923077*(0.3)</f>
        <v>0.37469813976923078</v>
      </c>
      <c r="G891">
        <f>0.749396279538462*(0.3)</f>
        <v>0.22481888386153845</v>
      </c>
      <c r="H891">
        <f>1.24899379923077*(0.3)</f>
        <v>0.37469813976923078</v>
      </c>
      <c r="I891">
        <f>1.24899379923077*(0.3)</f>
        <v>0.37469813976923078</v>
      </c>
      <c r="J891">
        <f>-0.249798759846154*(0.3)</f>
        <v>-7.493962795384615E-2</v>
      </c>
      <c r="K891">
        <f>1.24899379923077*(0.3)</f>
        <v>0.37469813976923078</v>
      </c>
      <c r="L891">
        <f>0.612006961623077*(0.3)</f>
        <v>0.18360208848692308</v>
      </c>
      <c r="M891">
        <f>1.37389317915385*(0.3)</f>
        <v>0.41216795374615395</v>
      </c>
      <c r="N891">
        <f>1.24899379923077*(0.3)</f>
        <v>0.37469813976923078</v>
      </c>
    </row>
    <row r="892" spans="1:14" x14ac:dyDescent="0.25">
      <c r="A892">
        <f>-0.628882316*(0.3)</f>
        <v>-0.1886646948</v>
      </c>
      <c r="B892">
        <f>0.0483755627692308*(0.3)</f>
        <v>1.4512668830769229E-2</v>
      </c>
      <c r="C892">
        <f>0.145126688307692*(0.3)</f>
        <v>4.3538006492307685E-2</v>
      </c>
      <c r="D892">
        <f>0.0483755627692308*(0.3)</f>
        <v>1.4512668830769229E-2</v>
      </c>
      <c r="E892">
        <f>0.0483755627692308*(0.3)</f>
        <v>1.4512668830769229E-2</v>
      </c>
      <c r="F892">
        <f>0.0483755627692308*(0.3)</f>
        <v>1.4512668830769229E-2</v>
      </c>
      <c r="G892">
        <f>0.0290253376615385*(0.3)</f>
        <v>8.7076012984615373E-3</v>
      </c>
      <c r="H892">
        <f>0.0483755627692308*(0.3)</f>
        <v>1.4512668830769229E-2</v>
      </c>
      <c r="I892">
        <f>0.0483755627692308*(0.3)</f>
        <v>1.4512668830769229E-2</v>
      </c>
      <c r="J892">
        <f>-0.00967511255384615*(0.3)</f>
        <v>-2.9025337661538453E-3</v>
      </c>
      <c r="K892">
        <f>0.0483755627692308*(0.3)</f>
        <v>1.4512668830769229E-2</v>
      </c>
      <c r="L892">
        <f>0.0237040257569231*(0.3)</f>
        <v>7.1112077270769226E-3</v>
      </c>
      <c r="M892">
        <f>0.0532131190461538*(0.3)</f>
        <v>1.5963935713846154E-2</v>
      </c>
      <c r="N892">
        <f>0.0483755627692308*(0.3)</f>
        <v>1.4512668830769229E-2</v>
      </c>
    </row>
    <row r="893" spans="1:14" x14ac:dyDescent="0.25">
      <c r="A893">
        <f>-19.55999474*(0.3)</f>
        <v>-5.8679984220000003</v>
      </c>
      <c r="B893">
        <f>1.50461498*(0.3)</f>
        <v>0.45138449399999997</v>
      </c>
      <c r="C893">
        <f>4.51384494*(0.3)</f>
        <v>1.3541534820000001</v>
      </c>
      <c r="D893">
        <f>1.50461498*(0.3)</f>
        <v>0.45138449399999997</v>
      </c>
      <c r="E893">
        <f>1.50461498*(0.3)</f>
        <v>0.45138449399999997</v>
      </c>
      <c r="F893">
        <f>1.50461498*(0.3)</f>
        <v>0.45138449399999997</v>
      </c>
      <c r="G893">
        <f>0.902768988*(0.3)</f>
        <v>0.27083069639999996</v>
      </c>
      <c r="H893">
        <f>1.50461498*(0.3)</f>
        <v>0.45138449399999997</v>
      </c>
      <c r="I893">
        <f>1.50461498*(0.3)</f>
        <v>0.45138449399999997</v>
      </c>
      <c r="J893">
        <f>-0.300922996*(0.3)</f>
        <v>-9.0276898799999977E-2</v>
      </c>
      <c r="K893">
        <f>1.50461498*(0.3)</f>
        <v>0.45138449399999997</v>
      </c>
      <c r="L893">
        <f>0.7372613402*(0.3)</f>
        <v>0.22117840206</v>
      </c>
      <c r="M893">
        <f>1.655076478*(0.3)</f>
        <v>0.49652294339999997</v>
      </c>
      <c r="N893">
        <f>1.50461498*(0.3)</f>
        <v>0.45138449399999997</v>
      </c>
    </row>
    <row r="894" spans="1:14" x14ac:dyDescent="0.25">
      <c r="A894">
        <f>0.993054978*(0.3)</f>
        <v>0.29791649339999998</v>
      </c>
      <c r="B894">
        <f>-0.0763888444615385*(0.3)</f>
        <v>-2.2916653338461535E-2</v>
      </c>
      <c r="C894">
        <f>-0.229166533384615*(0.3)</f>
        <v>-6.8749960015384609E-2</v>
      </c>
      <c r="D894">
        <f>-0.0763888444615385*(0.3)</f>
        <v>-2.2916653338461535E-2</v>
      </c>
      <c r="E894">
        <f>-0.0763888444615385*(0.3)</f>
        <v>-2.2916653338461535E-2</v>
      </c>
      <c r="F894">
        <f>-0.0763888444615385*(0.3)</f>
        <v>-2.2916653338461535E-2</v>
      </c>
      <c r="G894">
        <f>-0.0458333066769231*(0.3)</f>
        <v>-1.3749992003076921E-2</v>
      </c>
      <c r="H894">
        <f>-0.0763888444615385*(0.3)</f>
        <v>-2.2916653338461535E-2</v>
      </c>
      <c r="I894">
        <f>-0.0763888444615385*(0.3)</f>
        <v>-2.2916653338461535E-2</v>
      </c>
      <c r="J894">
        <f>0.0152777688923077*(0.3)</f>
        <v>4.583330667692306E-3</v>
      </c>
      <c r="K894">
        <f>-0.0763888444615385*(0.3)</f>
        <v>-2.2916653338461535E-2</v>
      </c>
      <c r="L894">
        <f>-0.0374305337861538*(0.3)</f>
        <v>-1.1229160135846154E-2</v>
      </c>
      <c r="M894">
        <f>-0.0840277289076923*(0.3)</f>
        <v>-2.5208318672307693E-2</v>
      </c>
      <c r="N894">
        <f>-0.0763888444615385*(0.3)</f>
        <v>-2.2916653338461535E-2</v>
      </c>
    </row>
    <row r="895" spans="1:14" x14ac:dyDescent="0.25">
      <c r="A895">
        <f>-22.18876215*(0.3)</f>
        <v>-6.6566286449999996</v>
      </c>
      <c r="B895">
        <f>1.70682785769231*(0.3)</f>
        <v>0.51204835730769227</v>
      </c>
      <c r="C895">
        <f>5.12048357307692*(0.3)</f>
        <v>1.5361450719230769</v>
      </c>
      <c r="D895">
        <f>1.70682785769231*(0.3)</f>
        <v>0.51204835730769227</v>
      </c>
      <c r="E895">
        <f>1.70682785769231*(0.3)</f>
        <v>0.51204835730769227</v>
      </c>
      <c r="F895">
        <f>1.70682785769231*(0.3)</f>
        <v>0.51204835730769227</v>
      </c>
      <c r="G895">
        <f>1.02409671461538*(0.3)</f>
        <v>0.30722901438461536</v>
      </c>
      <c r="H895">
        <f>1.70682785769231*(0.3)</f>
        <v>0.51204835730769227</v>
      </c>
      <c r="I895">
        <f>1.70682785769231*(0.3)</f>
        <v>0.51204835730769227</v>
      </c>
      <c r="J895">
        <f>-0.341365571538461*(0.3)</f>
        <v>-0.10240967146153843</v>
      </c>
      <c r="K895">
        <f>1.70682785769231*(0.3)</f>
        <v>0.51204835730769227</v>
      </c>
      <c r="L895">
        <f>0.836345650269231*(0.3)</f>
        <v>0.25090369508076921</v>
      </c>
      <c r="M895">
        <f>1.87751064346154*(0.3)</f>
        <v>0.56325319303846144</v>
      </c>
      <c r="N895">
        <f>1.70682785769231*(0.3)</f>
        <v>0.51204835730769227</v>
      </c>
    </row>
    <row r="896" spans="1:14" x14ac:dyDescent="0.25">
      <c r="A896">
        <f>1.955164108*(0.3)</f>
        <v>0.58654923240000001</v>
      </c>
      <c r="B896">
        <f>-0.150397239076923*(0.3)</f>
        <v>-4.5119171723076917E-2</v>
      </c>
      <c r="C896">
        <f>-0.451191717230769*(0.3)</f>
        <v>-0.13535751516923075</v>
      </c>
      <c r="D896">
        <f>-0.150397239076923*(0.3)</f>
        <v>-4.5119171723076917E-2</v>
      </c>
      <c r="E896">
        <f>-0.150397239076923*(0.3)</f>
        <v>-4.5119171723076917E-2</v>
      </c>
      <c r="F896">
        <f>-0.150397239076923*(0.3)</f>
        <v>-4.5119171723076917E-2</v>
      </c>
      <c r="G896">
        <f>-0.0902383434461538*(0.3)</f>
        <v>-2.7071503033846148E-2</v>
      </c>
      <c r="H896">
        <f>-0.150397239076923*(0.3)</f>
        <v>-4.5119171723076917E-2</v>
      </c>
      <c r="I896">
        <f>-0.150397239076923*(0.3)</f>
        <v>-4.5119171723076917E-2</v>
      </c>
      <c r="J896">
        <f>0.0300794478153846*(0.3)</f>
        <v>9.023834344615381E-3</v>
      </c>
      <c r="K896">
        <f>-0.150397239076923*(0.3)</f>
        <v>-4.5119171723076917E-2</v>
      </c>
      <c r="L896">
        <f>-0.0736946471476923*(0.3)</f>
        <v>-2.2108394144307691E-2</v>
      </c>
      <c r="M896">
        <f>-0.165436962984615*(0.3)</f>
        <v>-4.963108889538461E-2</v>
      </c>
      <c r="N896">
        <f>-0.150397239076923*(0.3)</f>
        <v>-4.5119171723076917E-2</v>
      </c>
    </row>
    <row r="897" spans="1:14" x14ac:dyDescent="0.25">
      <c r="A897">
        <f>-2.548800516*(0.3)</f>
        <v>-0.76464015480000003</v>
      </c>
      <c r="B897">
        <f>0.196061578153846*(0.3)</f>
        <v>5.8818473446153839E-2</v>
      </c>
      <c r="C897">
        <f>0.588184734461538*(0.3)</f>
        <v>0.17645542033846151</v>
      </c>
      <c r="D897">
        <f>0.196061578153846*(0.3)</f>
        <v>5.8818473446153839E-2</v>
      </c>
      <c r="E897">
        <f>0.196061578153846*(0.3)</f>
        <v>5.8818473446153839E-2</v>
      </c>
      <c r="F897">
        <f>0.196061578153846*(0.3)</f>
        <v>5.8818473446153839E-2</v>
      </c>
      <c r="G897">
        <f>0.117636946892308*(0.3)</f>
        <v>3.5291084067692303E-2</v>
      </c>
      <c r="H897">
        <f>0.196061578153846*(0.3)</f>
        <v>5.8818473446153839E-2</v>
      </c>
      <c r="I897">
        <f>0.196061578153846*(0.3)</f>
        <v>5.8818473446153839E-2</v>
      </c>
      <c r="J897">
        <f>-0.0392123156307692*(0.3)</f>
        <v>-1.1763694689230766E-2</v>
      </c>
      <c r="K897">
        <f>0.196061578153846*(0.3)</f>
        <v>5.8818473446153839E-2</v>
      </c>
      <c r="L897">
        <f>0.0960701732953846*(0.3)</f>
        <v>2.8821051988615384E-2</v>
      </c>
      <c r="M897">
        <f>0.215667735969231*(0.3)</f>
        <v>6.4700320790769233E-2</v>
      </c>
      <c r="N897">
        <f>0.196061578153846*(0.3)</f>
        <v>5.8818473446153839E-2</v>
      </c>
    </row>
    <row r="898" spans="1:14" x14ac:dyDescent="0.25">
      <c r="A898">
        <f>0.848788727*(0.3)</f>
        <v>0.25463661809999999</v>
      </c>
      <c r="B898">
        <f>-0.0652914405384615*(0.3)</f>
        <v>-1.9587432161538458E-2</v>
      </c>
      <c r="C898">
        <f>-0.195874321615385*(0.3)</f>
        <v>-5.8762296484615374E-2</v>
      </c>
      <c r="D898">
        <f>-0.0652914405384615*(0.3)</f>
        <v>-1.9587432161538458E-2</v>
      </c>
      <c r="E898">
        <f>-0.0652914405384615*(0.3)</f>
        <v>-1.9587432161538458E-2</v>
      </c>
      <c r="F898">
        <f>-0.0652914405384615*(0.3)</f>
        <v>-1.9587432161538458E-2</v>
      </c>
      <c r="G898">
        <f>-0.0391748643230769*(0.3)</f>
        <v>-1.1752459296923074E-2</v>
      </c>
      <c r="H898">
        <f>-0.0652914405384615*(0.3)</f>
        <v>-1.9587432161538458E-2</v>
      </c>
      <c r="I898">
        <f>-0.0652914405384615*(0.3)</f>
        <v>-1.9587432161538458E-2</v>
      </c>
      <c r="J898">
        <f>0.0130582881076923*(0.3)</f>
        <v>3.9174864323076909E-3</v>
      </c>
      <c r="K898">
        <f>-0.0652914405384615*(0.3)</f>
        <v>-1.9587432161538458E-2</v>
      </c>
      <c r="L898">
        <f>-0.0319928058638461*(0.3)</f>
        <v>-9.5978417591538433E-3</v>
      </c>
      <c r="M898">
        <f>-0.0718205845923077*(0.3)</f>
        <v>-2.1546175377692309E-2</v>
      </c>
      <c r="N898">
        <f>-0.0652914405384615*(0.3)</f>
        <v>-1.9587432161538458E-2</v>
      </c>
    </row>
    <row r="899" spans="1:14" x14ac:dyDescent="0.25">
      <c r="A899">
        <f>-3.753644805*(0.3)</f>
        <v>-1.1260934414999999</v>
      </c>
      <c r="B899">
        <f>0.288741908076923*(0.3)</f>
        <v>8.6622572423076916E-2</v>
      </c>
      <c r="C899">
        <f>0.866225724230769*(0.3)</f>
        <v>0.25986771726923075</v>
      </c>
      <c r="D899">
        <f>0.288741908076923*(0.3)</f>
        <v>8.6622572423076916E-2</v>
      </c>
      <c r="E899">
        <f>0.288741908076923*(0.3)</f>
        <v>8.6622572423076916E-2</v>
      </c>
      <c r="F899">
        <f>0.288741908076923*(0.3)</f>
        <v>8.6622572423076916E-2</v>
      </c>
      <c r="G899">
        <f>0.173245144846154*(0.3)</f>
        <v>5.1973543453846145E-2</v>
      </c>
      <c r="H899">
        <f>0.288741908076923*(0.3)</f>
        <v>8.6622572423076916E-2</v>
      </c>
      <c r="I899">
        <f>0.288741908076923*(0.3)</f>
        <v>8.6622572423076916E-2</v>
      </c>
      <c r="J899">
        <f>-0.0577483816153846*(0.3)</f>
        <v>-1.7324514484615378E-2</v>
      </c>
      <c r="K899">
        <f>0.288741908076923*(0.3)</f>
        <v>8.6622572423076916E-2</v>
      </c>
      <c r="L899">
        <f>0.141483534957692*(0.3)</f>
        <v>4.2445060487307694E-2</v>
      </c>
      <c r="M899">
        <f>0.317616098884615*(0.3)</f>
        <v>9.528482966538461E-2</v>
      </c>
      <c r="N899">
        <f>0.288741908076923*(0.3)</f>
        <v>8.6622572423076916E-2</v>
      </c>
    </row>
    <row r="900" spans="1:14" x14ac:dyDescent="0.25">
      <c r="A900">
        <f>0.261898084*(0.3)</f>
        <v>7.8569425199999987E-2</v>
      </c>
      <c r="B900">
        <f>-0.0201460064615385*(0.3)</f>
        <v>-6.0438019384615382E-3</v>
      </c>
      <c r="C900">
        <f>-0.0604380193846154*(0.3)</f>
        <v>-1.8131405815384614E-2</v>
      </c>
      <c r="D900">
        <f>-0.0201460064615385*(0.3)</f>
        <v>-6.0438019384615382E-3</v>
      </c>
      <c r="E900">
        <f>-0.0201460064615385*(0.3)</f>
        <v>-6.0438019384615382E-3</v>
      </c>
      <c r="F900">
        <f>-0.0201460064615385*(0.3)</f>
        <v>-6.0438019384615382E-3</v>
      </c>
      <c r="G900">
        <f>-0.0120876038769231*(0.3)</f>
        <v>-3.6262811630769229E-3</v>
      </c>
      <c r="H900">
        <f>-0.0201460064615385*(0.3)</f>
        <v>-6.0438019384615382E-3</v>
      </c>
      <c r="I900">
        <f>-0.0201460064615385*(0.3)</f>
        <v>-6.0438019384615382E-3</v>
      </c>
      <c r="J900">
        <f>0.00402920129230769*(0.3)</f>
        <v>1.2087603876923074E-3</v>
      </c>
      <c r="K900">
        <f>-0.0201460064615385*(0.3)</f>
        <v>-6.0438019384615382E-3</v>
      </c>
      <c r="L900">
        <f>-0.00987154316615385*(0.3)</f>
        <v>-2.9614629498461538E-3</v>
      </c>
      <c r="M900">
        <f>-0.0221606071076923*(0.3)</f>
        <v>-6.6481821323076925E-3</v>
      </c>
      <c r="N900">
        <f>-0.0201460064615385*(0.3)</f>
        <v>-6.0438019384615382E-3</v>
      </c>
    </row>
    <row r="901" spans="1:14" x14ac:dyDescent="0.25">
      <c r="A901">
        <f>-5.306957209*(0.3)</f>
        <v>-1.5920871626999999</v>
      </c>
      <c r="B901">
        <f>0.408227477615385*(0.3)</f>
        <v>0.12246824328461539</v>
      </c>
      <c r="C901">
        <f>1.22468243284615*(0.3)</f>
        <v>0.36740472985384615</v>
      </c>
      <c r="D901">
        <f>0.408227477615385*(0.3)</f>
        <v>0.12246824328461539</v>
      </c>
      <c r="E901">
        <f>0.408227477615385*(0.3)</f>
        <v>0.12246824328461539</v>
      </c>
      <c r="F901">
        <f>0.408227477615385*(0.3)</f>
        <v>0.12246824328461539</v>
      </c>
      <c r="G901">
        <f>0.244936486569231*(0.3)</f>
        <v>7.3480945970769235E-2</v>
      </c>
      <c r="H901">
        <f>0.408227477615385*(0.3)</f>
        <v>0.12246824328461539</v>
      </c>
      <c r="I901">
        <f>0.408227477615385*(0.3)</f>
        <v>0.12246824328461539</v>
      </c>
      <c r="J901">
        <f>-0.0816454955230769*(0.3)</f>
        <v>-2.4493648656923075E-2</v>
      </c>
      <c r="K901">
        <f>0.408227477615385*(0.3)</f>
        <v>0.12246824328461539</v>
      </c>
      <c r="L901">
        <f>0.200031464031538*(0.3)</f>
        <v>6.0009439209461536E-2</v>
      </c>
      <c r="M901">
        <f>0.449050225376923*(0.3)</f>
        <v>0.13471506761307694</v>
      </c>
      <c r="N901">
        <f>0.408227477615385*(0.3)</f>
        <v>0.12246824328461539</v>
      </c>
    </row>
    <row r="902" spans="1:14" x14ac:dyDescent="0.25">
      <c r="A902">
        <f>1.31699271*(0.3)</f>
        <v>0.39509781300000002</v>
      </c>
      <c r="B902">
        <f>-0.101307131538462*(0.3)</f>
        <v>-3.0392139461538462E-2</v>
      </c>
      <c r="C902">
        <f>-0.303921394615385*(0.3)</f>
        <v>-9.117641838461539E-2</v>
      </c>
      <c r="D902">
        <f>-0.101307131538462*(0.3)</f>
        <v>-3.0392139461538462E-2</v>
      </c>
      <c r="E902">
        <f>-0.101307131538462*(0.3)</f>
        <v>-3.0392139461538462E-2</v>
      </c>
      <c r="F902">
        <f>-0.101307131538462*(0.3)</f>
        <v>-3.0392139461538462E-2</v>
      </c>
      <c r="G902">
        <f>-0.0607842789230769*(0.3)</f>
        <v>-1.8235283676923078E-2</v>
      </c>
      <c r="H902">
        <f>-0.101307131538462*(0.3)</f>
        <v>-3.0392139461538462E-2</v>
      </c>
      <c r="I902">
        <f>-0.101307131538462*(0.3)</f>
        <v>-3.0392139461538462E-2</v>
      </c>
      <c r="J902">
        <f>0.0202614263076923*(0.3)</f>
        <v>6.0784278923076912E-3</v>
      </c>
      <c r="K902">
        <f>-0.101307131538462*(0.3)</f>
        <v>-3.0392139461538462E-2</v>
      </c>
      <c r="L902">
        <f>-0.0496404944538462*(0.3)</f>
        <v>-1.4892148336153845E-2</v>
      </c>
      <c r="M902">
        <f>-0.111437844692308*(0.3)</f>
        <v>-3.3431353407692307E-2</v>
      </c>
      <c r="N902">
        <f>-0.101307131538462*(0.3)</f>
        <v>-3.0392139461538462E-2</v>
      </c>
    </row>
    <row r="903" spans="1:14" x14ac:dyDescent="0.25">
      <c r="A903">
        <f>-3.424249004*(0.3)</f>
        <v>-1.0272747011999999</v>
      </c>
      <c r="B903">
        <f>0.263403769538462*(0.3)</f>
        <v>7.9021130861538461E-2</v>
      </c>
      <c r="C903">
        <f>0.790211308615385*(0.3)</f>
        <v>0.2370633925846154</v>
      </c>
      <c r="D903">
        <f>0.263403769538462*(0.3)</f>
        <v>7.9021130861538461E-2</v>
      </c>
      <c r="E903">
        <f>0.263403769538462*(0.3)</f>
        <v>7.9021130861538461E-2</v>
      </c>
      <c r="F903">
        <f>0.263403769538462*(0.3)</f>
        <v>7.9021130861538461E-2</v>
      </c>
      <c r="G903">
        <f>0.158042261723077*(0.3)</f>
        <v>4.7412678516923074E-2</v>
      </c>
      <c r="H903">
        <f>0.263403769538462*(0.3)</f>
        <v>7.9021130861538461E-2</v>
      </c>
      <c r="I903">
        <f>0.263403769538462*(0.3)</f>
        <v>7.9021130861538461E-2</v>
      </c>
      <c r="J903">
        <f>-0.0526807539076923*(0.3)</f>
        <v>-1.580422617230769E-2</v>
      </c>
      <c r="K903">
        <f>0.263403769538462*(0.3)</f>
        <v>7.9021130861538461E-2</v>
      </c>
      <c r="L903">
        <f>0.129067847073846*(0.3)</f>
        <v>3.8720354122153848E-2</v>
      </c>
      <c r="M903">
        <f>0.289744146492308*(0.3)</f>
        <v>8.6923243947692311E-2</v>
      </c>
      <c r="N903">
        <f>0.263403769538462*(0.3)</f>
        <v>7.9021130861538461E-2</v>
      </c>
    </row>
    <row r="904" spans="1:14" x14ac:dyDescent="0.25">
      <c r="A904">
        <f>-1.016809075*(0.3)</f>
        <v>-0.30504272250000003</v>
      </c>
      <c r="B904">
        <f>0.0782160826923077*(0.3)</f>
        <v>2.3464824807692311E-2</v>
      </c>
      <c r="C904">
        <f>0.234648248076923*(0.3)</f>
        <v>7.0394474423076933E-2</v>
      </c>
      <c r="D904">
        <f>0.0782160826923077*(0.3)</f>
        <v>2.3464824807692311E-2</v>
      </c>
      <c r="E904">
        <f>0.0782160826923077*(0.3)</f>
        <v>2.3464824807692311E-2</v>
      </c>
      <c r="F904">
        <f>0.0782160826923077*(0.3)</f>
        <v>2.3464824807692311E-2</v>
      </c>
      <c r="G904">
        <f>0.0469296496153846*(0.3)</f>
        <v>1.4078894884615386E-2</v>
      </c>
      <c r="H904">
        <f>0.0782160826923077*(0.3)</f>
        <v>2.3464824807692311E-2</v>
      </c>
      <c r="I904">
        <f>0.0782160826923077*(0.3)</f>
        <v>2.3464824807692311E-2</v>
      </c>
      <c r="J904">
        <f>-0.0156432165384615*(0.3)</f>
        <v>-4.6929649615384608E-3</v>
      </c>
      <c r="K904">
        <f>0.0782160826923077*(0.3)</f>
        <v>2.3464824807692311E-2</v>
      </c>
      <c r="L904">
        <f>0.0383258805192308*(0.3)</f>
        <v>1.1497764155769233E-2</v>
      </c>
      <c r="M904">
        <f>0.0860376909615385*(0.3)</f>
        <v>2.5811307288461545E-2</v>
      </c>
      <c r="N904">
        <f>0.0782160826923077*(0.3)</f>
        <v>2.3464824807692311E-2</v>
      </c>
    </row>
    <row r="905" spans="1:14" x14ac:dyDescent="0.25">
      <c r="A905">
        <f>-4.419294145*(0.3)</f>
        <v>-1.3257882435000001</v>
      </c>
      <c r="B905">
        <f>0.339945703461538*(0.3)</f>
        <v>0.10198371103846153</v>
      </c>
      <c r="C905">
        <f>1.01983711038462*(0.3)</f>
        <v>0.30595113311538458</v>
      </c>
      <c r="D905">
        <f>0.339945703461538*(0.3)</f>
        <v>0.10198371103846153</v>
      </c>
      <c r="E905">
        <f>0.339945703461538*(0.3)</f>
        <v>0.10198371103846153</v>
      </c>
      <c r="F905">
        <f>0.339945703461538*(0.3)</f>
        <v>0.10198371103846153</v>
      </c>
      <c r="G905">
        <f>0.203967422076923*(0.3)</f>
        <v>6.1190226623076917E-2</v>
      </c>
      <c r="H905">
        <f>0.339945703461538*(0.3)</f>
        <v>0.10198371103846153</v>
      </c>
      <c r="I905">
        <f>0.339945703461538*(0.3)</f>
        <v>0.10198371103846153</v>
      </c>
      <c r="J905">
        <f>-0.0679891406923077*(0.3)</f>
        <v>-2.03967422076923E-2</v>
      </c>
      <c r="K905">
        <f>0.339945703461538*(0.3)</f>
        <v>0.10198371103846153</v>
      </c>
      <c r="L905">
        <f>0.166573394696154*(0.3)</f>
        <v>4.9972018408846151E-2</v>
      </c>
      <c r="M905">
        <f>0.373940273807692*(0.3)</f>
        <v>0.1121820821423077</v>
      </c>
      <c r="N905">
        <f>0.339945703461538*(0.3)</f>
        <v>0.10198371103846153</v>
      </c>
    </row>
    <row r="906" spans="1:14" x14ac:dyDescent="0.25">
      <c r="A906">
        <f>0.425385939*(0.3)</f>
        <v>0.12761578169999999</v>
      </c>
      <c r="B906">
        <f>-0.0327219953076923*(0.3)</f>
        <v>-9.8165985923076918E-3</v>
      </c>
      <c r="C906">
        <f>-0.0981659859230769*(0.3)</f>
        <v>-2.9449795776923075E-2</v>
      </c>
      <c r="D906">
        <f>-0.0327219953076923*(0.3)</f>
        <v>-9.8165985923076918E-3</v>
      </c>
      <c r="E906">
        <f>-0.0327219953076923*(0.3)</f>
        <v>-9.8165985923076918E-3</v>
      </c>
      <c r="F906">
        <f>-0.0327219953076923*(0.3)</f>
        <v>-9.8165985923076918E-3</v>
      </c>
      <c r="G906">
        <f>-0.0196331971846154*(0.3)</f>
        <v>-5.8899591553846151E-3</v>
      </c>
      <c r="H906">
        <f>-0.0327219953076923*(0.3)</f>
        <v>-9.8165985923076918E-3</v>
      </c>
      <c r="I906">
        <f>-0.0327219953076923*(0.3)</f>
        <v>-9.8165985923076918E-3</v>
      </c>
      <c r="J906">
        <f>0.00654439906153846*(0.3)</f>
        <v>1.9633197184615379E-3</v>
      </c>
      <c r="K906">
        <f>-0.0327219953076923*(0.3)</f>
        <v>-9.8165985923076918E-3</v>
      </c>
      <c r="L906">
        <f>-0.0160337777007692*(0.3)</f>
        <v>-4.8101333102307684E-3</v>
      </c>
      <c r="M906">
        <f>-0.0359941948384615*(0.3)</f>
        <v>-1.0798258451538461E-2</v>
      </c>
      <c r="N906">
        <f>-0.0327219953076923*(0.3)</f>
        <v>-9.8165985923076918E-3</v>
      </c>
    </row>
    <row r="907" spans="1:14" x14ac:dyDescent="0.25">
      <c r="A907">
        <f>-6.448480262*(0.3)</f>
        <v>-1.9345440786000001</v>
      </c>
      <c r="B907">
        <f>0.496036943230769*(0.3)</f>
        <v>0.14881108296923076</v>
      </c>
      <c r="C907">
        <f>1.48811082969231*(0.3)</f>
        <v>0.44643324890769231</v>
      </c>
      <c r="D907">
        <f>0.496036943230769*(0.3)</f>
        <v>0.14881108296923076</v>
      </c>
      <c r="E907">
        <f>0.496036943230769*(0.3)</f>
        <v>0.14881108296923076</v>
      </c>
      <c r="F907">
        <f>0.496036943230769*(0.3)</f>
        <v>0.14881108296923076</v>
      </c>
      <c r="G907">
        <f>0.297622165938462*(0.3)</f>
        <v>8.9286649781538455E-2</v>
      </c>
      <c r="H907">
        <f>0.496036943230769*(0.3)</f>
        <v>0.14881108296923076</v>
      </c>
      <c r="I907">
        <f>0.496036943230769*(0.3)</f>
        <v>0.14881108296923076</v>
      </c>
      <c r="J907">
        <f>-0.0992073886461538*(0.3)</f>
        <v>-2.9762216593846147E-2</v>
      </c>
      <c r="K907">
        <f>0.496036943230769*(0.3)</f>
        <v>0.14881108296923076</v>
      </c>
      <c r="L907">
        <f>0.243058102183077*(0.3)</f>
        <v>7.2917430654923066E-2</v>
      </c>
      <c r="M907">
        <f>0.545640637553846*(0.3)</f>
        <v>0.16369219126615384</v>
      </c>
      <c r="N907">
        <f>0.496036943230769*(0.3)</f>
        <v>0.14881108296923076</v>
      </c>
    </row>
    <row r="908" spans="1:14" x14ac:dyDescent="0.25">
      <c r="A908">
        <f>-0.944100571*(0.3)</f>
        <v>-0.2832301713</v>
      </c>
      <c r="B908">
        <f>0.0726231208461538*(0.3)</f>
        <v>2.1786936253846152E-2</v>
      </c>
      <c r="C908">
        <f>0.217869362538462*(0.3)</f>
        <v>6.536080876153845E-2</v>
      </c>
      <c r="D908">
        <f>0.0726231208461538*(0.3)</f>
        <v>2.1786936253846152E-2</v>
      </c>
      <c r="E908">
        <f>0.0726231208461538*(0.3)</f>
        <v>2.1786936253846152E-2</v>
      </c>
      <c r="F908">
        <f>0.0726231208461538*(0.3)</f>
        <v>2.1786936253846152E-2</v>
      </c>
      <c r="G908">
        <f>0.0435738725076923*(0.3)</f>
        <v>1.3072161752307691E-2</v>
      </c>
      <c r="H908">
        <f>0.0726231208461538*(0.3)</f>
        <v>2.1786936253846152E-2</v>
      </c>
      <c r="I908">
        <f>0.0726231208461538*(0.3)</f>
        <v>2.1786936253846152E-2</v>
      </c>
      <c r="J908">
        <f>-0.0145246241692308*(0.3)</f>
        <v>-4.3573872507692291E-3</v>
      </c>
      <c r="K908">
        <f>0.0726231208461538*(0.3)</f>
        <v>2.1786936253846152E-2</v>
      </c>
      <c r="L908">
        <f>0.0355853292146154*(0.3)</f>
        <v>1.0675598764384614E-2</v>
      </c>
      <c r="M908">
        <f>0.0798854329307692*(0.3)</f>
        <v>2.396562987923077E-2</v>
      </c>
      <c r="N908">
        <f>0.0726231208461538*(0.3)</f>
        <v>2.1786936253846152E-2</v>
      </c>
    </row>
    <row r="909" spans="1:14" x14ac:dyDescent="0.25">
      <c r="A909">
        <f>-9.688838764*(0.3)</f>
        <v>-2.9066516291999998</v>
      </c>
      <c r="B909">
        <f>0.745295289538461*(0.3)</f>
        <v>0.22358858686153843</v>
      </c>
      <c r="C909">
        <f>2.23588586861538*(0.3)</f>
        <v>0.67076576058461534</v>
      </c>
      <c r="D909">
        <f>0.745295289538461*(0.3)</f>
        <v>0.22358858686153843</v>
      </c>
      <c r="E909">
        <f>0.745295289538461*(0.3)</f>
        <v>0.22358858686153843</v>
      </c>
      <c r="F909">
        <f>0.745295289538461*(0.3)</f>
        <v>0.22358858686153843</v>
      </c>
      <c r="G909">
        <f>0.447177173723077*(0.3)</f>
        <v>0.13415315211692305</v>
      </c>
      <c r="H909">
        <f>0.745295289538461*(0.3)</f>
        <v>0.22358858686153843</v>
      </c>
      <c r="I909">
        <f>0.745295289538461*(0.3)</f>
        <v>0.22358858686153843</v>
      </c>
      <c r="J909">
        <f>-0.149059057907692*(0.3)</f>
        <v>-4.4717717372307675E-2</v>
      </c>
      <c r="K909">
        <f>0.745295289538461*(0.3)</f>
        <v>0.22358858686153843</v>
      </c>
      <c r="L909">
        <f>0.365194691873846*(0.3)</f>
        <v>0.10955840756215383</v>
      </c>
      <c r="M909">
        <f>0.819824818492308*(0.3)</f>
        <v>0.24594744554769229</v>
      </c>
      <c r="N909">
        <f>0.745295289538461*(0.3)</f>
        <v>0.22358858686153843</v>
      </c>
    </row>
    <row r="910" spans="1:14" x14ac:dyDescent="0.25">
      <c r="A910">
        <f>1.207675872*(0.3)</f>
        <v>0.36230276160000002</v>
      </c>
      <c r="B910">
        <f>-0.092898144*(0.3)</f>
        <v>-2.78694432E-2</v>
      </c>
      <c r="C910">
        <f>-0.278694432*(0.3)</f>
        <v>-8.3608329599999989E-2</v>
      </c>
      <c r="D910">
        <f>-0.092898144*(0.3)</f>
        <v>-2.78694432E-2</v>
      </c>
      <c r="E910">
        <f>-0.092898144*(0.3)</f>
        <v>-2.78694432E-2</v>
      </c>
      <c r="F910">
        <f>-0.092898144*(0.3)</f>
        <v>-2.78694432E-2</v>
      </c>
      <c r="G910">
        <f>-0.0557388864*(0.3)</f>
        <v>-1.672166592E-2</v>
      </c>
      <c r="H910">
        <f>-0.092898144*(0.3)</f>
        <v>-2.78694432E-2</v>
      </c>
      <c r="I910">
        <f>-0.092898144*(0.3)</f>
        <v>-2.78694432E-2</v>
      </c>
      <c r="J910">
        <f>0.0185796288*(0.3)</f>
        <v>5.5738886399999991E-3</v>
      </c>
      <c r="K910">
        <f>-0.092898144*(0.3)</f>
        <v>-2.78694432E-2</v>
      </c>
      <c r="L910">
        <f>-0.04552009056*(0.3)</f>
        <v>-1.3656027167999999E-2</v>
      </c>
      <c r="M910">
        <f>-0.1021879584*(0.3)</f>
        <v>-3.0656387520000002E-2</v>
      </c>
      <c r="N910">
        <f>-0.092898144*(0.3)</f>
        <v>-2.78694432E-2</v>
      </c>
    </row>
    <row r="911" spans="1:14" x14ac:dyDescent="0.25">
      <c r="A911">
        <f>-8.374691737*(0.3)</f>
        <v>-2.5124075210999997</v>
      </c>
      <c r="B911">
        <f>0.644207056692308*(0.3)</f>
        <v>0.19326211700769227</v>
      </c>
      <c r="C911">
        <f>1.93262117007692*(0.3)</f>
        <v>0.57978635102307685</v>
      </c>
      <c r="D911">
        <f>0.644207056692308*(0.3)</f>
        <v>0.19326211700769227</v>
      </c>
      <c r="E911">
        <f>0.644207056692308*(0.3)</f>
        <v>0.19326211700769227</v>
      </c>
      <c r="F911">
        <f>0.644207056692308*(0.3)</f>
        <v>0.19326211700769227</v>
      </c>
      <c r="G911">
        <f>0.386524234015385*(0.3)</f>
        <v>0.11595727020461535</v>
      </c>
      <c r="H911">
        <f>0.644207056692308*(0.3)</f>
        <v>0.19326211700769227</v>
      </c>
      <c r="I911">
        <f>0.644207056692308*(0.3)</f>
        <v>0.19326211700769227</v>
      </c>
      <c r="J911">
        <f>-0.128841411338461*(0.3)</f>
        <v>-3.8652423401538447E-2</v>
      </c>
      <c r="K911">
        <f>0.644207056692308*(0.3)</f>
        <v>0.19326211700769227</v>
      </c>
      <c r="L911">
        <f>0.315661457779231*(0.3)</f>
        <v>9.4698437333769217E-2</v>
      </c>
      <c r="M911">
        <f>0.708627762361538*(0.3)</f>
        <v>0.21258832870846153</v>
      </c>
      <c r="N911">
        <f>0.644207056692308*(0.3)</f>
        <v>0.19326211700769227</v>
      </c>
    </row>
    <row r="912" spans="1:14" x14ac:dyDescent="0.25">
      <c r="A912">
        <f>-4.734268592*(0.3)</f>
        <v>-1.4202805776</v>
      </c>
      <c r="B912">
        <f>0.364174507076923*(0.3)</f>
        <v>0.10925235212307693</v>
      </c>
      <c r="C912">
        <f>1.09252352123077*(0.3)</f>
        <v>0.3277570563692308</v>
      </c>
      <c r="D912">
        <f>0.364174507076923*(0.3)</f>
        <v>0.10925235212307693</v>
      </c>
      <c r="E912">
        <f>0.364174507076923*(0.3)</f>
        <v>0.10925235212307693</v>
      </c>
      <c r="F912">
        <f>0.364174507076923*(0.3)</f>
        <v>0.10925235212307693</v>
      </c>
      <c r="G912">
        <f>0.218504704246154*(0.3)</f>
        <v>6.5551411273846158E-2</v>
      </c>
      <c r="H912">
        <f>0.364174507076923*(0.3)</f>
        <v>0.10925235212307693</v>
      </c>
      <c r="I912">
        <f>0.364174507076923*(0.3)</f>
        <v>0.10925235212307693</v>
      </c>
      <c r="J912">
        <f>-0.0728349014153846*(0.3)</f>
        <v>-2.1850470424615381E-2</v>
      </c>
      <c r="K912">
        <f>0.364174507076923*(0.3)</f>
        <v>0.10925235212307693</v>
      </c>
      <c r="L912">
        <f>0.178445508467692*(0.3)</f>
        <v>5.3533652540307695E-2</v>
      </c>
      <c r="M912">
        <f>0.400591957784615*(0.3)</f>
        <v>0.12017758733538464</v>
      </c>
      <c r="N912">
        <f>0.364174507076923*(0.3)</f>
        <v>0.10925235212307693</v>
      </c>
    </row>
    <row r="913" spans="1:14" x14ac:dyDescent="0.25">
      <c r="A913">
        <f>-1.423801683*(0.3)</f>
        <v>-0.4271405049</v>
      </c>
      <c r="B913">
        <f>0.109523206384615*(0.3)</f>
        <v>3.2856961915384612E-2</v>
      </c>
      <c r="C913">
        <f>0.328569619153846*(0.3)</f>
        <v>9.8570885746153844E-2</v>
      </c>
      <c r="D913">
        <f>0.109523206384615*(0.3)</f>
        <v>3.2856961915384612E-2</v>
      </c>
      <c r="E913">
        <f>0.109523206384615*(0.3)</f>
        <v>3.2856961915384612E-2</v>
      </c>
      <c r="F913">
        <f>0.109523206384615*(0.3)</f>
        <v>3.2856961915384612E-2</v>
      </c>
      <c r="G913">
        <f>0.0657139238307692*(0.3)</f>
        <v>1.9714177149230766E-2</v>
      </c>
      <c r="H913">
        <f>0.109523206384615*(0.3)</f>
        <v>3.2856961915384612E-2</v>
      </c>
      <c r="I913">
        <f>0.109523206384615*(0.3)</f>
        <v>3.2856961915384612E-2</v>
      </c>
      <c r="J913">
        <f>-0.0219046412769231*(0.3)</f>
        <v>-6.5713923830769206E-3</v>
      </c>
      <c r="K913">
        <f>0.109523206384615*(0.3)</f>
        <v>3.2856961915384612E-2</v>
      </c>
      <c r="L913">
        <f>0.0536663711284615*(0.3)</f>
        <v>1.6099911338538459E-2</v>
      </c>
      <c r="M913">
        <f>0.120475527023077*(0.3)</f>
        <v>3.6142658106923076E-2</v>
      </c>
      <c r="N913">
        <f>0.109523206384615*(0.3)</f>
        <v>3.2856961915384612E-2</v>
      </c>
    </row>
    <row r="914" spans="1:14" x14ac:dyDescent="0.25">
      <c r="A914">
        <f>2.990329131*(0.3)</f>
        <v>0.89709873930000006</v>
      </c>
      <c r="B914">
        <f>-0.230025317769231*(0.3)</f>
        <v>-6.9007595330769236E-2</v>
      </c>
      <c r="C914">
        <f>-0.690075953307692*(0.3)</f>
        <v>-0.2070227859923077</v>
      </c>
      <c r="D914">
        <f>-0.230025317769231*(0.3)</f>
        <v>-6.9007595330769236E-2</v>
      </c>
      <c r="E914">
        <f>-0.230025317769231*(0.3)</f>
        <v>-6.9007595330769236E-2</v>
      </c>
      <c r="F914">
        <f>-0.230025317769231*(0.3)</f>
        <v>-6.9007595330769236E-2</v>
      </c>
      <c r="G914">
        <f>-0.138015190661538*(0.3)</f>
        <v>-4.140455719846154E-2</v>
      </c>
      <c r="H914">
        <f>-0.230025317769231*(0.3)</f>
        <v>-6.9007595330769236E-2</v>
      </c>
      <c r="I914">
        <f>-0.230025317769231*(0.3)</f>
        <v>-6.9007595330769236E-2</v>
      </c>
      <c r="J914">
        <f>0.0460050635538461*(0.3)</f>
        <v>1.3801519066153844E-2</v>
      </c>
      <c r="K914">
        <f>-0.230025317769231*(0.3)</f>
        <v>-6.9007595330769236E-2</v>
      </c>
      <c r="L914">
        <f>-0.112712405706923*(0.3)</f>
        <v>-3.3813721712076923E-2</v>
      </c>
      <c r="M914">
        <f>-0.253027849546154*(0.3)</f>
        <v>-7.5908354863846159E-2</v>
      </c>
      <c r="N914">
        <f>-0.230025317769231*(0.3)</f>
        <v>-6.9007595330769236E-2</v>
      </c>
    </row>
    <row r="915" spans="1:14" x14ac:dyDescent="0.25">
      <c r="A915">
        <f>-5.571012429*(0.3)</f>
        <v>-1.6713037286999999</v>
      </c>
      <c r="B915">
        <f>0.428539417615385*(0.3)</f>
        <v>0.12856182528461538</v>
      </c>
      <c r="C915">
        <f>1.28561825284615*(0.3)</f>
        <v>0.3856854758538461</v>
      </c>
      <c r="D915">
        <f>0.428539417615385*(0.3)</f>
        <v>0.12856182528461538</v>
      </c>
      <c r="E915">
        <f>0.428539417615385*(0.3)</f>
        <v>0.12856182528461538</v>
      </c>
      <c r="F915">
        <f>0.428539417615385*(0.3)</f>
        <v>0.12856182528461538</v>
      </c>
      <c r="G915">
        <f>0.257123650569231*(0.3)</f>
        <v>7.7137095170769221E-2</v>
      </c>
      <c r="H915">
        <f>0.428539417615385*(0.3)</f>
        <v>0.12856182528461538</v>
      </c>
      <c r="I915">
        <f>0.428539417615385*(0.3)</f>
        <v>0.12856182528461538</v>
      </c>
      <c r="J915">
        <f>-0.0857078835230769*(0.3)</f>
        <v>-2.5712365056923068E-2</v>
      </c>
      <c r="K915">
        <f>0.428539417615385*(0.3)</f>
        <v>0.12856182528461538</v>
      </c>
      <c r="L915">
        <f>0.209984314631538*(0.3)</f>
        <v>6.299529438946154E-2</v>
      </c>
      <c r="M915">
        <f>0.471393359376923*(0.3)</f>
        <v>0.14141800781307692</v>
      </c>
      <c r="N915">
        <f>0.428539417615385*(0.3)</f>
        <v>0.12856182528461538</v>
      </c>
    </row>
    <row r="916" spans="1:14" x14ac:dyDescent="0.25">
      <c r="A916">
        <f>-3.146597526*(0.3)</f>
        <v>-0.94397925779999992</v>
      </c>
      <c r="B916">
        <f>0.242045963538462*(0.3)</f>
        <v>7.2613789061538453E-2</v>
      </c>
      <c r="C916">
        <f>0.726137890615385*(0.3)</f>
        <v>0.21784136718461536</v>
      </c>
      <c r="D916">
        <f>0.242045963538462*(0.3)</f>
        <v>7.2613789061538453E-2</v>
      </c>
      <c r="E916">
        <f>0.242045963538462*(0.3)</f>
        <v>7.2613789061538453E-2</v>
      </c>
      <c r="F916">
        <f>0.242045963538462*(0.3)</f>
        <v>7.2613789061538453E-2</v>
      </c>
      <c r="G916">
        <f>0.145227578123077*(0.3)</f>
        <v>4.3568273436923072E-2</v>
      </c>
      <c r="H916">
        <f>0.242045963538462*(0.3)</f>
        <v>7.2613789061538453E-2</v>
      </c>
      <c r="I916">
        <f>0.242045963538462*(0.3)</f>
        <v>7.2613789061538453E-2</v>
      </c>
      <c r="J916">
        <f>-0.0484091927076923*(0.3)</f>
        <v>-1.4522757812307689E-2</v>
      </c>
      <c r="K916">
        <f>0.242045963538462*(0.3)</f>
        <v>7.2613789061538453E-2</v>
      </c>
      <c r="L916">
        <f>0.118602522133846*(0.3)</f>
        <v>3.5580756640153845E-2</v>
      </c>
      <c r="M916">
        <f>0.266250559892308*(0.3)</f>
        <v>7.9875167967692312E-2</v>
      </c>
      <c r="N916">
        <f>0.242045963538462*(0.3)</f>
        <v>7.2613789061538453E-2</v>
      </c>
    </row>
    <row r="917" spans="1:14" x14ac:dyDescent="0.25">
      <c r="A917">
        <f>-7.206904226*(0.3)</f>
        <v>-2.1620712678</v>
      </c>
      <c r="B917">
        <f>0.554377248153846*(0.3)</f>
        <v>0.16631317444615384</v>
      </c>
      <c r="C917">
        <f>1.66313174446154*(0.3)</f>
        <v>0.49893952333846153</v>
      </c>
      <c r="D917">
        <f>0.554377248153846*(0.3)</f>
        <v>0.16631317444615384</v>
      </c>
      <c r="E917">
        <f>0.554377248153846*(0.3)</f>
        <v>0.16631317444615384</v>
      </c>
      <c r="F917">
        <f>0.554377248153846*(0.3)</f>
        <v>0.16631317444615384</v>
      </c>
      <c r="G917">
        <f>0.332626348892308*(0.3)</f>
        <v>9.9787904667692301E-2</v>
      </c>
      <c r="H917">
        <f>0.554377248153846*(0.3)</f>
        <v>0.16631317444615384</v>
      </c>
      <c r="I917">
        <f>0.554377248153846*(0.3)</f>
        <v>0.16631317444615384</v>
      </c>
      <c r="J917">
        <f>-0.110875449630769*(0.3)</f>
        <v>-3.3262634889230758E-2</v>
      </c>
      <c r="K917">
        <f>0.554377248153846*(0.3)</f>
        <v>0.16631317444615384</v>
      </c>
      <c r="L917">
        <f>0.271644851595385*(0.3)</f>
        <v>8.1493455478615376E-2</v>
      </c>
      <c r="M917">
        <f>0.609814972969231*(0.3)</f>
        <v>0.18294449189076925</v>
      </c>
      <c r="N917">
        <f>0.554377248153846*(0.3)</f>
        <v>0.16631317444615384</v>
      </c>
    </row>
    <row r="918" spans="1:14" x14ac:dyDescent="0.25">
      <c r="A918">
        <f>0.406935039*(0.3)</f>
        <v>0.12208051169999999</v>
      </c>
      <c r="B918">
        <f>-0.0313026953076923*(0.3)</f>
        <v>-9.3908085923076912E-3</v>
      </c>
      <c r="C918">
        <f>-0.0939080859230769*(0.3)</f>
        <v>-2.8172425776923075E-2</v>
      </c>
      <c r="D918">
        <f>-0.0313026953076923*(0.3)</f>
        <v>-9.3908085923076912E-3</v>
      </c>
      <c r="E918">
        <f>-0.0313026953076923*(0.3)</f>
        <v>-9.3908085923076912E-3</v>
      </c>
      <c r="F918">
        <f>-0.0313026953076923*(0.3)</f>
        <v>-9.3908085923076912E-3</v>
      </c>
      <c r="G918">
        <f>-0.0187816171846154*(0.3)</f>
        <v>-5.6344851553846147E-3</v>
      </c>
      <c r="H918">
        <f>-0.0313026953076923*(0.3)</f>
        <v>-9.3908085923076912E-3</v>
      </c>
      <c r="I918">
        <f>-0.0313026953076923*(0.3)</f>
        <v>-9.3908085923076912E-3</v>
      </c>
      <c r="J918">
        <f>0.00626053906153846*(0.3)</f>
        <v>1.8781617184615378E-3</v>
      </c>
      <c r="K918">
        <f>-0.0313026953076923*(0.3)</f>
        <v>-9.3908085923076912E-3</v>
      </c>
      <c r="L918">
        <f>-0.0153383207007692*(0.3)</f>
        <v>-4.6014962102307686E-3</v>
      </c>
      <c r="M918">
        <f>-0.0344329648384615*(0.3)</f>
        <v>-1.0329889451538461E-2</v>
      </c>
      <c r="N918">
        <f>-0.0313026953076923*(0.3)</f>
        <v>-9.3908085923076912E-3</v>
      </c>
    </row>
    <row r="919" spans="1:14" x14ac:dyDescent="0.25">
      <c r="A919">
        <f>-8.784407311*(0.3)</f>
        <v>-2.6353221932999999</v>
      </c>
      <c r="B919">
        <f>0.675723639307692*(0.3)</f>
        <v>0.20271709179230771</v>
      </c>
      <c r="C919">
        <f>2.02717091792308*(0.3)</f>
        <v>0.60815127537692304</v>
      </c>
      <c r="D919">
        <f>0.675723639307692*(0.3)</f>
        <v>0.20271709179230771</v>
      </c>
      <c r="E919">
        <f>0.675723639307692*(0.3)</f>
        <v>0.20271709179230771</v>
      </c>
      <c r="F919">
        <f>0.675723639307692*(0.3)</f>
        <v>0.20271709179230771</v>
      </c>
      <c r="G919">
        <f>0.405434183584615*(0.3)</f>
        <v>0.12163025507538462</v>
      </c>
      <c r="H919">
        <f>0.675723639307692*(0.3)</f>
        <v>0.20271709179230771</v>
      </c>
      <c r="I919">
        <f>0.675723639307692*(0.3)</f>
        <v>0.20271709179230771</v>
      </c>
      <c r="J919">
        <f>-0.135144727861538*(0.3)</f>
        <v>-4.0543418358461529E-2</v>
      </c>
      <c r="K919">
        <f>0.675723639307692*(0.3)</f>
        <v>0.20271709179230771</v>
      </c>
      <c r="L919">
        <f>0.331104583260769*(0.3)</f>
        <v>9.9331374978230788E-2</v>
      </c>
      <c r="M919">
        <f>0.743296003238462*(0.3)</f>
        <v>0.2229888009715385</v>
      </c>
      <c r="N919">
        <f>0.675723639307692*(0.3)</f>
        <v>0.20271709179230771</v>
      </c>
    </row>
    <row r="920" spans="1:14" x14ac:dyDescent="0.25">
      <c r="A920">
        <f>0.049282886*(0.3)</f>
        <v>1.4784865799999998E-2</v>
      </c>
      <c r="B920">
        <f>-0.00379099123076923*(0.3)</f>
        <v>-1.1372973692307692E-3</v>
      </c>
      <c r="C920">
        <f>-0.0113729736923077*(0.3)</f>
        <v>-3.4118921076923075E-3</v>
      </c>
      <c r="D920">
        <f>-0.00379099123076923*(0.3)</f>
        <v>-1.1372973692307692E-3</v>
      </c>
      <c r="E920">
        <f>-0.00379099123076923*(0.3)</f>
        <v>-1.1372973692307692E-3</v>
      </c>
      <c r="F920">
        <f>-0.00379099123076923*(0.3)</f>
        <v>-1.1372973692307692E-3</v>
      </c>
      <c r="G920">
        <f>-0.00227459473846154*(0.3)</f>
        <v>-6.8237842153846156E-4</v>
      </c>
      <c r="H920">
        <f>-0.00379099123076923*(0.3)</f>
        <v>-1.1372973692307692E-3</v>
      </c>
      <c r="I920">
        <f>-0.00379099123076923*(0.3)</f>
        <v>-1.1372973692307692E-3</v>
      </c>
      <c r="J920">
        <f>0.000758198246153846*(0.3)</f>
        <v>2.2745947384615378E-4</v>
      </c>
      <c r="K920">
        <f>-0.00379099123076923*(0.3)</f>
        <v>-1.1372973692307692E-3</v>
      </c>
      <c r="L920">
        <f>-0.00185758570307692*(0.3)</f>
        <v>-5.572757109230769E-4</v>
      </c>
      <c r="M920">
        <f>-0.00417009035384615*(0.3)</f>
        <v>-1.2510271061538462E-3</v>
      </c>
      <c r="N920">
        <f>-0.00379099123076923*(0.3)</f>
        <v>-1.1372973692307692E-3</v>
      </c>
    </row>
    <row r="921" spans="1:14" x14ac:dyDescent="0.25">
      <c r="A921">
        <f>-9.903866213*(0.3)</f>
        <v>-2.9711598639000001</v>
      </c>
      <c r="B921">
        <f>0.761835862538462*(0.3)</f>
        <v>0.22855075876153846</v>
      </c>
      <c r="C921">
        <f>2.28550758761538*(0.3)</f>
        <v>0.68565227628461545</v>
      </c>
      <c r="D921">
        <f>0.761835862538462*(0.3)</f>
        <v>0.22855075876153846</v>
      </c>
      <c r="E921">
        <f>0.761835862538462*(0.3)</f>
        <v>0.22855075876153846</v>
      </c>
      <c r="F921">
        <f>0.761835862538462*(0.3)</f>
        <v>0.22855075876153846</v>
      </c>
      <c r="G921">
        <f>0.457101517523077*(0.3)</f>
        <v>0.13713045525692308</v>
      </c>
      <c r="H921">
        <f>0.761835862538462*(0.3)</f>
        <v>0.22855075876153846</v>
      </c>
      <c r="I921">
        <f>0.761835862538462*(0.3)</f>
        <v>0.22855075876153846</v>
      </c>
      <c r="J921">
        <f>-0.152367172507692*(0.3)</f>
        <v>-4.5710151752307679E-2</v>
      </c>
      <c r="K921">
        <f>0.761835862538462*(0.3)</f>
        <v>0.22855075876153846</v>
      </c>
      <c r="L921">
        <f>0.373299572643846*(0.3)</f>
        <v>0.11198987179315385</v>
      </c>
      <c r="M921">
        <f>0.838019448792308*(0.3)</f>
        <v>0.25140583463769234</v>
      </c>
      <c r="N921">
        <f>0.761835862538462*(0.3)</f>
        <v>0.22855075876153846</v>
      </c>
    </row>
    <row r="922" spans="1:14" x14ac:dyDescent="0.25">
      <c r="A922">
        <f>0.833804191*(0.3)</f>
        <v>0.25014125729999998</v>
      </c>
      <c r="B922">
        <f>-0.0641387839230769*(0.3)</f>
        <v>-1.9241635176923077E-2</v>
      </c>
      <c r="C922">
        <f>-0.192416351769231*(0.3)</f>
        <v>-5.7724905530769227E-2</v>
      </c>
      <c r="D922">
        <f>-0.0641387839230769*(0.3)</f>
        <v>-1.9241635176923077E-2</v>
      </c>
      <c r="E922">
        <f>-0.0641387839230769*(0.3)</f>
        <v>-1.9241635176923077E-2</v>
      </c>
      <c r="F922">
        <f>-0.0641387839230769*(0.3)</f>
        <v>-1.9241635176923077E-2</v>
      </c>
      <c r="G922">
        <f>-0.0384832703538462*(0.3)</f>
        <v>-1.1544981106153845E-2</v>
      </c>
      <c r="H922">
        <f>-0.0641387839230769*(0.3)</f>
        <v>-1.9241635176923077E-2</v>
      </c>
      <c r="I922">
        <f>-0.0641387839230769*(0.3)</f>
        <v>-1.9241635176923077E-2</v>
      </c>
      <c r="J922">
        <f>0.0128277567846154*(0.3)</f>
        <v>3.8483270353846144E-3</v>
      </c>
      <c r="K922">
        <f>-0.0641387839230769*(0.3)</f>
        <v>-1.9241635176923077E-2</v>
      </c>
      <c r="L922">
        <f>-0.0314280041223077*(0.3)</f>
        <v>-9.4284012366923076E-3</v>
      </c>
      <c r="M922">
        <f>-0.0705526623153846*(0.3)</f>
        <v>-2.1165798694615386E-2</v>
      </c>
      <c r="N922">
        <f>-0.0641387839230769*(0.3)</f>
        <v>-1.9241635176923077E-2</v>
      </c>
    </row>
    <row r="923" spans="1:14" x14ac:dyDescent="0.25">
      <c r="A923">
        <f>-11.49066804*(0.3)</f>
        <v>-3.4472004119999995</v>
      </c>
      <c r="B923">
        <f>0.883897541538461*(0.3)</f>
        <v>0.26516926246153844</v>
      </c>
      <c r="C923">
        <f>2.65169262461538*(0.3)</f>
        <v>0.79550778738461536</v>
      </c>
      <c r="D923">
        <f>0.883897541538461*(0.3)</f>
        <v>0.26516926246153844</v>
      </c>
      <c r="E923">
        <f>0.883897541538461*(0.3)</f>
        <v>0.26516926246153844</v>
      </c>
      <c r="F923">
        <f>0.883897541538461*(0.3)</f>
        <v>0.26516926246153844</v>
      </c>
      <c r="G923">
        <f>0.530338524923077*(0.3)</f>
        <v>0.15910155747692306</v>
      </c>
      <c r="H923">
        <f>0.883897541538461*(0.3)</f>
        <v>0.26516926246153844</v>
      </c>
      <c r="I923">
        <f>0.883897541538461*(0.3)</f>
        <v>0.26516926246153844</v>
      </c>
      <c r="J923">
        <f>-0.176779508307692*(0.3)</f>
        <v>-5.303385249230768E-2</v>
      </c>
      <c r="K923">
        <f>0.883897541538461*(0.3)</f>
        <v>0.26516926246153844</v>
      </c>
      <c r="L923">
        <f>0.433109795353846*(0.3)</f>
        <v>0.12993293860615382</v>
      </c>
      <c r="M923">
        <f>0.972287295692308*(0.3)</f>
        <v>0.29168618870769231</v>
      </c>
      <c r="N923">
        <f>0.883897541538461*(0.3)</f>
        <v>0.26516926246153844</v>
      </c>
    </row>
    <row r="924" spans="1:14" x14ac:dyDescent="0.25">
      <c r="A924">
        <f>-3.148572011*(0.3)</f>
        <v>-0.94457160330000001</v>
      </c>
      <c r="B924">
        <f>0.242197847*(0.3)</f>
        <v>7.2659354100000004E-2</v>
      </c>
      <c r="C924">
        <f>0.726593541*(0.3)</f>
        <v>0.21797806230000003</v>
      </c>
      <c r="D924">
        <f>0.242197847*(0.3)</f>
        <v>7.2659354100000004E-2</v>
      </c>
      <c r="E924">
        <f>0.242197847*(0.3)</f>
        <v>7.2659354100000004E-2</v>
      </c>
      <c r="F924">
        <f>0.242197847*(0.3)</f>
        <v>7.2659354100000004E-2</v>
      </c>
      <c r="G924">
        <f>0.1453187082*(0.3)</f>
        <v>4.3595612460000002E-2</v>
      </c>
      <c r="H924">
        <f>0.242197847*(0.3)</f>
        <v>7.2659354100000004E-2</v>
      </c>
      <c r="I924">
        <f>0.242197847*(0.3)</f>
        <v>7.2659354100000004E-2</v>
      </c>
      <c r="J924">
        <f>-0.0484395694*(0.3)</f>
        <v>-1.4531870819999997E-2</v>
      </c>
      <c r="K924">
        <f>0.242197847*(0.3)</f>
        <v>7.2659354100000004E-2</v>
      </c>
      <c r="L924">
        <f>0.11867694503*(0.3)</f>
        <v>3.5603083509000003E-2</v>
      </c>
      <c r="M924">
        <f>0.2664176317*(0.3)</f>
        <v>7.9925289510000011E-2</v>
      </c>
      <c r="N924">
        <f>0.242197847*(0.3)</f>
        <v>7.2659354100000004E-2</v>
      </c>
    </row>
    <row r="925" spans="1:14" x14ac:dyDescent="0.25">
      <c r="A925">
        <f>-14.76740966*(0.3)</f>
        <v>-4.4302228980000002</v>
      </c>
      <c r="B925">
        <f>1.13595458923077*(0.3)</f>
        <v>0.34078637676923074</v>
      </c>
      <c r="C925">
        <f>3.40786376769231*(0.3)</f>
        <v>1.0223591303076922</v>
      </c>
      <c r="D925">
        <f>1.13595458923077*(0.3)</f>
        <v>0.34078637676923074</v>
      </c>
      <c r="E925">
        <f>1.13595458923077*(0.3)</f>
        <v>0.34078637676923074</v>
      </c>
      <c r="F925">
        <f>1.13595458923077*(0.3)</f>
        <v>0.34078637676923074</v>
      </c>
      <c r="G925">
        <f>0.681572753538461*(0.3)</f>
        <v>0.20447182606153844</v>
      </c>
      <c r="H925">
        <f>1.13595458923077*(0.3)</f>
        <v>0.34078637676923074</v>
      </c>
      <c r="I925">
        <f>1.13595458923077*(0.3)</f>
        <v>0.34078637676923074</v>
      </c>
      <c r="J925">
        <f>-0.227190917846154*(0.3)</f>
        <v>-6.8157275353846136E-2</v>
      </c>
      <c r="K925">
        <f>1.13595458923077*(0.3)</f>
        <v>0.34078637676923074</v>
      </c>
      <c r="L925">
        <f>0.556617748723077*(0.3)</f>
        <v>0.16698532461692306</v>
      </c>
      <c r="M925">
        <f>1.24955004815385*(0.3)</f>
        <v>0.37486501444615383</v>
      </c>
      <c r="N925">
        <f>1.13595458923077*(0.3)</f>
        <v>0.34078637676923074</v>
      </c>
    </row>
    <row r="926" spans="1:14" x14ac:dyDescent="0.25">
      <c r="A926">
        <f>2.079108624*(0.3)</f>
        <v>0.62373258719999991</v>
      </c>
      <c r="B926">
        <f>-0.159931432615385*(0.3)</f>
        <v>-4.7979429784615384E-2</v>
      </c>
      <c r="C926">
        <f>-0.479794297846154*(0.3)</f>
        <v>-0.14393828935384614</v>
      </c>
      <c r="D926">
        <f>-0.159931432615385*(0.3)</f>
        <v>-4.7979429784615384E-2</v>
      </c>
      <c r="E926">
        <f>-0.159931432615385*(0.3)</f>
        <v>-4.7979429784615384E-2</v>
      </c>
      <c r="F926">
        <f>-0.159931432615385*(0.3)</f>
        <v>-4.7979429784615384E-2</v>
      </c>
      <c r="G926">
        <f>-0.0959588595692308*(0.3)</f>
        <v>-2.8787657870769229E-2</v>
      </c>
      <c r="H926">
        <f>-0.159931432615385*(0.3)</f>
        <v>-4.7979429784615384E-2</v>
      </c>
      <c r="I926">
        <f>-0.159931432615385*(0.3)</f>
        <v>-4.7979429784615384E-2</v>
      </c>
      <c r="J926">
        <f>0.0319862865230769*(0.3)</f>
        <v>9.5958859569230757E-3</v>
      </c>
      <c r="K926">
        <f>-0.159931432615385*(0.3)</f>
        <v>-4.7979429784615384E-2</v>
      </c>
      <c r="L926">
        <f>-0.0783664019815385*(0.3)</f>
        <v>-2.3509920594461539E-2</v>
      </c>
      <c r="M926">
        <f>-0.175924575876923*(0.3)</f>
        <v>-5.2777372763076924E-2</v>
      </c>
      <c r="N926">
        <f>-0.159931432615385*(0.3)</f>
        <v>-4.7979429784615384E-2</v>
      </c>
    </row>
    <row r="927" spans="1:14" x14ac:dyDescent="0.25">
      <c r="A927">
        <f>-14.01151614*(0.3)</f>
        <v>-4.2034548419999993</v>
      </c>
      <c r="B927">
        <f>1.07780893384615*(0.3)</f>
        <v>0.32334268015384615</v>
      </c>
      <c r="C927">
        <f>3.23342680153846*(0.3)</f>
        <v>0.97002804046153845</v>
      </c>
      <c r="D927">
        <f>1.07780893384615*(0.3)</f>
        <v>0.32334268015384615</v>
      </c>
      <c r="E927">
        <f>1.07780893384615*(0.3)</f>
        <v>0.32334268015384615</v>
      </c>
      <c r="F927">
        <f>1.07780893384615*(0.3)</f>
        <v>0.32334268015384615</v>
      </c>
      <c r="G927">
        <f>0.646685360307692*(0.3)</f>
        <v>0.19400560809230769</v>
      </c>
      <c r="H927">
        <f>1.07780893384615*(0.3)</f>
        <v>0.32334268015384615</v>
      </c>
      <c r="I927">
        <f>1.07780893384615*(0.3)</f>
        <v>0.32334268015384615</v>
      </c>
      <c r="J927">
        <f>-0.215561786769231*(0.3)</f>
        <v>-6.4668536030769205E-2</v>
      </c>
      <c r="K927">
        <f>1.07780893384615*(0.3)</f>
        <v>0.32334268015384615</v>
      </c>
      <c r="L927">
        <f>0.528126377584615*(0.3)</f>
        <v>0.15843791327538459</v>
      </c>
      <c r="M927">
        <f>1.18558982723077*(0.3)</f>
        <v>0.35567694816923073</v>
      </c>
      <c r="N927">
        <f>1.07780893384615*(0.3)</f>
        <v>0.32334268015384615</v>
      </c>
    </row>
    <row r="928" spans="1:14" x14ac:dyDescent="0.25">
      <c r="A928">
        <f>-1.056612569*(0.3)</f>
        <v>-0.31698377069999994</v>
      </c>
      <c r="B928">
        <f>0.0812778899230769*(0.3)</f>
        <v>2.4383366976923074E-2</v>
      </c>
      <c r="C928">
        <f>0.243833669769231*(0.3)</f>
        <v>7.3150100930769221E-2</v>
      </c>
      <c r="D928">
        <f>0.0812778899230769*(0.3)</f>
        <v>2.4383366976923074E-2</v>
      </c>
      <c r="E928">
        <f>0.0812778899230769*(0.3)</f>
        <v>2.4383366976923074E-2</v>
      </c>
      <c r="F928">
        <f>0.0812778899230769*(0.3)</f>
        <v>2.4383366976923074E-2</v>
      </c>
      <c r="G928">
        <f>0.0487667339538461*(0.3)</f>
        <v>1.4630020186153843E-2</v>
      </c>
      <c r="H928">
        <f>0.0812778899230769*(0.3)</f>
        <v>2.4383366976923074E-2</v>
      </c>
      <c r="I928">
        <f>0.0812778899230769*(0.3)</f>
        <v>2.4383366976923074E-2</v>
      </c>
      <c r="J928">
        <f>-0.0162555779846154*(0.3)</f>
        <v>-4.8766733953846137E-3</v>
      </c>
      <c r="K928">
        <f>0.0812778899230769*(0.3)</f>
        <v>2.4383366976923074E-2</v>
      </c>
      <c r="L928">
        <f>0.0398261660623077*(0.3)</f>
        <v>1.1947849818692305E-2</v>
      </c>
      <c r="M928">
        <f>0.0894056789153846*(0.3)</f>
        <v>2.6821703674615383E-2</v>
      </c>
      <c r="N928">
        <f>0.0812778899230769*(0.3)</f>
        <v>2.4383366976923074E-2</v>
      </c>
    </row>
    <row r="929" spans="1:14" x14ac:dyDescent="0.25">
      <c r="A929">
        <f>-6.460230184*(0.3)</f>
        <v>-1.9380690551999999</v>
      </c>
      <c r="B929">
        <f>0.496940783384615*(0.3)</f>
        <v>0.14908223501538462</v>
      </c>
      <c r="C929">
        <f>1.49082235015385*(0.3)</f>
        <v>0.44724670504615388</v>
      </c>
      <c r="D929">
        <f>0.496940783384615*(0.3)</f>
        <v>0.14908223501538462</v>
      </c>
      <c r="E929">
        <f>0.496940783384615*(0.3)</f>
        <v>0.14908223501538462</v>
      </c>
      <c r="F929">
        <f>0.496940783384615*(0.3)</f>
        <v>0.14908223501538462</v>
      </c>
      <c r="G929">
        <f>0.298164470030769*(0.3)</f>
        <v>8.9449341009230771E-2</v>
      </c>
      <c r="H929">
        <f>0.496940783384615*(0.3)</f>
        <v>0.14908223501538462</v>
      </c>
      <c r="I929">
        <f>0.496940783384615*(0.3)</f>
        <v>0.14908223501538462</v>
      </c>
      <c r="J929">
        <f>-0.0993881566769231*(0.3)</f>
        <v>-2.9816447003076913E-2</v>
      </c>
      <c r="K929">
        <f>0.496940783384615*(0.3)</f>
        <v>0.14908223501538462</v>
      </c>
      <c r="L929">
        <f>0.243500983858462*(0.3)</f>
        <v>7.3050295157538456E-2</v>
      </c>
      <c r="M929">
        <f>0.546634861723077*(0.3)</f>
        <v>0.16399045851692309</v>
      </c>
      <c r="N929">
        <f>0.496940783384615*(0.3)</f>
        <v>0.14908223501538462</v>
      </c>
    </row>
    <row r="930" spans="1:14" x14ac:dyDescent="0.25">
      <c r="A930">
        <f>-0.701846783*(0.3)</f>
        <v>-0.21055403489999999</v>
      </c>
      <c r="B930">
        <f>0.0539882140769231*(0.3)</f>
        <v>1.6196464223076922E-2</v>
      </c>
      <c r="C930">
        <f>0.161964642230769*(0.3)</f>
        <v>4.858939266923077E-2</v>
      </c>
      <c r="D930">
        <f>0.0539882140769231*(0.3)</f>
        <v>1.6196464223076922E-2</v>
      </c>
      <c r="E930">
        <f>0.0539882140769231*(0.3)</f>
        <v>1.6196464223076922E-2</v>
      </c>
      <c r="F930">
        <f>0.0539882140769231*(0.3)</f>
        <v>1.6196464223076922E-2</v>
      </c>
      <c r="G930">
        <f>0.0323929284461538*(0.3)</f>
        <v>9.7178785338461523E-3</v>
      </c>
      <c r="H930">
        <f>0.0539882140769231*(0.3)</f>
        <v>1.6196464223076922E-2</v>
      </c>
      <c r="I930">
        <f>0.0539882140769231*(0.3)</f>
        <v>1.6196464223076922E-2</v>
      </c>
      <c r="J930">
        <f>-0.0107976428153846*(0.3)</f>
        <v>-3.2392928446153841E-3</v>
      </c>
      <c r="K930">
        <f>0.0539882140769231*(0.3)</f>
        <v>1.6196464223076922E-2</v>
      </c>
      <c r="L930">
        <f>0.0264542248976923*(0.3)</f>
        <v>7.936267469307692E-3</v>
      </c>
      <c r="M930">
        <f>0.0593870354846154*(0.3)</f>
        <v>1.7816110645384617E-2</v>
      </c>
      <c r="N930">
        <f>0.0539882140769231*(0.3)</f>
        <v>1.6196464223076922E-2</v>
      </c>
    </row>
    <row r="931" spans="1:14" x14ac:dyDescent="0.25">
      <c r="A931">
        <f>-8.863610192*(0.3)</f>
        <v>-2.6590830575999997</v>
      </c>
      <c r="B931">
        <f>0.681816168615385*(0.3)</f>
        <v>0.20454485058461536</v>
      </c>
      <c r="C931">
        <f>2.04544850584615*(0.3)</f>
        <v>0.61363455175384607</v>
      </c>
      <c r="D931">
        <f>0.681816168615385*(0.3)</f>
        <v>0.20454485058461536</v>
      </c>
      <c r="E931">
        <f>0.681816168615385*(0.3)</f>
        <v>0.20454485058461536</v>
      </c>
      <c r="F931">
        <f>0.681816168615385*(0.3)</f>
        <v>0.20454485058461536</v>
      </c>
      <c r="G931">
        <f>0.409089701169231*(0.3)</f>
        <v>0.12272691035076921</v>
      </c>
      <c r="H931">
        <f>0.681816168615385*(0.3)</f>
        <v>0.20454485058461536</v>
      </c>
      <c r="I931">
        <f>0.681816168615385*(0.3)</f>
        <v>0.20454485058461536</v>
      </c>
      <c r="J931">
        <f>-0.136363233723077*(0.3)</f>
        <v>-4.0908970116923064E-2</v>
      </c>
      <c r="K931">
        <f>0.681816168615385*(0.3)</f>
        <v>0.20454485058461536</v>
      </c>
      <c r="L931">
        <f>0.334089922621538*(0.3)</f>
        <v>0.10022697678646152</v>
      </c>
      <c r="M931">
        <f>0.749997785476923*(0.3)</f>
        <v>0.22499933564307692</v>
      </c>
      <c r="N931">
        <f>0.681816168615385*(0.3)</f>
        <v>0.20454485058461536</v>
      </c>
    </row>
    <row r="932" spans="1:14" x14ac:dyDescent="0.25">
      <c r="A932">
        <f>-0.55855145*(0.3)</f>
        <v>-0.16756543499999998</v>
      </c>
      <c r="B932">
        <f>0.0429654961538461*(0.3)</f>
        <v>1.2889648846153845E-2</v>
      </c>
      <c r="C932">
        <f>0.128896488461538*(0.3)</f>
        <v>3.8668946538461535E-2</v>
      </c>
      <c r="D932">
        <f>0.0429654961538461*(0.3)</f>
        <v>1.2889648846153845E-2</v>
      </c>
      <c r="E932">
        <f>0.0429654961538461*(0.3)</f>
        <v>1.2889648846153845E-2</v>
      </c>
      <c r="F932">
        <f>0.0429654961538461*(0.3)</f>
        <v>1.2889648846153845E-2</v>
      </c>
      <c r="G932">
        <f>0.0257792976923077*(0.3)</f>
        <v>7.733789307692307E-3</v>
      </c>
      <c r="H932">
        <f>0.0429654961538461*(0.3)</f>
        <v>1.2889648846153845E-2</v>
      </c>
      <c r="I932">
        <f>0.0429654961538461*(0.3)</f>
        <v>1.2889648846153845E-2</v>
      </c>
      <c r="J932">
        <f>-0.00859309923076923*(0.3)</f>
        <v>-2.5779297692307686E-3</v>
      </c>
      <c r="K932">
        <f>0.0429654961538461*(0.3)</f>
        <v>1.2889648846153845E-2</v>
      </c>
      <c r="L932">
        <f>0.0210530931153846*(0.3)</f>
        <v>6.315927934615384E-3</v>
      </c>
      <c r="M932">
        <f>0.0472620457692308*(0.3)</f>
        <v>1.4178613730769231E-2</v>
      </c>
      <c r="N932">
        <f>0.0429654961538461*(0.3)</f>
        <v>1.2889648846153845E-2</v>
      </c>
    </row>
    <row r="933" spans="1:14" x14ac:dyDescent="0.25">
      <c r="A933">
        <f>-10.99804241*(0.3)</f>
        <v>-3.2994127230000001</v>
      </c>
      <c r="B933">
        <f>0.846003262307692*(0.3)</f>
        <v>0.25380097869230767</v>
      </c>
      <c r="C933">
        <f>2.53800978692308*(0.3)</f>
        <v>0.761402936076923</v>
      </c>
      <c r="D933">
        <f>0.846003262307692*(0.3)</f>
        <v>0.25380097869230767</v>
      </c>
      <c r="E933">
        <f>0.846003262307692*(0.3)</f>
        <v>0.25380097869230767</v>
      </c>
      <c r="F933">
        <f>0.846003262307692*(0.3)</f>
        <v>0.25380097869230767</v>
      </c>
      <c r="G933">
        <f>0.507601957384615*(0.3)</f>
        <v>0.15228058721538459</v>
      </c>
      <c r="H933">
        <f>0.846003262307692*(0.3)</f>
        <v>0.25380097869230767</v>
      </c>
      <c r="I933">
        <f>0.846003262307692*(0.3)</f>
        <v>0.25380097869230767</v>
      </c>
      <c r="J933">
        <f>-0.169200652461538*(0.3)</f>
        <v>-5.0760195738461529E-2</v>
      </c>
      <c r="K933">
        <f>0.846003262307692*(0.3)</f>
        <v>0.25380097869230767</v>
      </c>
      <c r="L933">
        <f>0.414541598530769*(0.3)</f>
        <v>0.12436247955923076</v>
      </c>
      <c r="M933">
        <f>0.930603588538462*(0.3)</f>
        <v>0.27918107656153845</v>
      </c>
      <c r="N933">
        <f>0.846003262307692*(0.3)</f>
        <v>0.25380097869230767</v>
      </c>
    </row>
    <row r="934" spans="1:14" x14ac:dyDescent="0.25">
      <c r="A934">
        <f>2.456949747*(0.3)</f>
        <v>0.73708492409999993</v>
      </c>
      <c r="B934">
        <f>-0.188996134384615*(0.3)</f>
        <v>-5.6698840315384608E-2</v>
      </c>
      <c r="C934">
        <f>-0.566988403153846*(0.3)</f>
        <v>-0.17009652094615382</v>
      </c>
      <c r="D934">
        <f>-0.188996134384615*(0.3)</f>
        <v>-5.6698840315384608E-2</v>
      </c>
      <c r="E934">
        <f>-0.188996134384615*(0.3)</f>
        <v>-5.6698840315384608E-2</v>
      </c>
      <c r="F934">
        <f>-0.188996134384615*(0.3)</f>
        <v>-5.6698840315384608E-2</v>
      </c>
      <c r="G934">
        <f>-0.113397680630769*(0.3)</f>
        <v>-3.4019304189230763E-2</v>
      </c>
      <c r="H934">
        <f>-0.188996134384615*(0.3)</f>
        <v>-5.6698840315384608E-2</v>
      </c>
      <c r="I934">
        <f>-0.188996134384615*(0.3)</f>
        <v>-5.6698840315384608E-2</v>
      </c>
      <c r="J934">
        <f>0.0377992268769231*(0.3)</f>
        <v>1.133976806307692E-2</v>
      </c>
      <c r="K934">
        <f>-0.188996134384615*(0.3)</f>
        <v>-5.6698840315384608E-2</v>
      </c>
      <c r="L934">
        <f>-0.0926081058484615*(0.3)</f>
        <v>-2.7782431754538459E-2</v>
      </c>
      <c r="M934">
        <f>-0.207895747823077*(0.3)</f>
        <v>-6.2368724346923074E-2</v>
      </c>
      <c r="N934">
        <f>-0.188996134384615*(0.3)</f>
        <v>-5.6698840315384608E-2</v>
      </c>
    </row>
    <row r="935" spans="1:14" x14ac:dyDescent="0.25">
      <c r="A935">
        <f>-18.15163251*(0.3)</f>
        <v>-5.4454897529999995</v>
      </c>
      <c r="B935">
        <f>1.39627942384615*(0.3)</f>
        <v>0.41888382715384614</v>
      </c>
      <c r="C935">
        <f>4.18883827153846*(0.3)</f>
        <v>1.2566514814615384</v>
      </c>
      <c r="D935">
        <f>1.39627942384615*(0.3)</f>
        <v>0.41888382715384614</v>
      </c>
      <c r="E935">
        <f>1.39627942384615*(0.3)</f>
        <v>0.41888382715384614</v>
      </c>
      <c r="F935">
        <f>1.39627942384615*(0.3)</f>
        <v>0.41888382715384614</v>
      </c>
      <c r="G935">
        <f>0.837767654307692*(0.3)</f>
        <v>0.25133029629230769</v>
      </c>
      <c r="H935">
        <f>1.39627942384615*(0.3)</f>
        <v>0.41888382715384614</v>
      </c>
      <c r="I935">
        <f>1.39627942384615*(0.3)</f>
        <v>0.41888382715384614</v>
      </c>
      <c r="J935">
        <f>-0.279255884769231*(0.3)</f>
        <v>-8.3776765430769201E-2</v>
      </c>
      <c r="K935">
        <f>1.39627942384615*(0.3)</f>
        <v>0.41888382715384614</v>
      </c>
      <c r="L935">
        <f>0.684176917684615*(0.3)</f>
        <v>0.20525307530538459</v>
      </c>
      <c r="M935">
        <f>1.53590736623077*(0.3)</f>
        <v>0.46077220986923073</v>
      </c>
      <c r="N935">
        <f>1.39627942384615*(0.3)</f>
        <v>0.41888382715384614</v>
      </c>
    </row>
    <row r="936" spans="1:14" x14ac:dyDescent="0.25">
      <c r="A936">
        <f>1.590490043*(0.3)</f>
        <v>0.47714701289999994</v>
      </c>
      <c r="B936">
        <f>-0.122345387923077*(0.3)</f>
        <v>-3.6703616376923077E-2</v>
      </c>
      <c r="C936">
        <f>-0.367036163769231*(0.3)</f>
        <v>-0.11011084913076923</v>
      </c>
      <c r="D936">
        <f>-0.122345387923077*(0.3)</f>
        <v>-3.6703616376923077E-2</v>
      </c>
      <c r="E936">
        <f>-0.122345387923077*(0.3)</f>
        <v>-3.6703616376923077E-2</v>
      </c>
      <c r="F936">
        <f>-0.122345387923077*(0.3)</f>
        <v>-3.6703616376923077E-2</v>
      </c>
      <c r="G936">
        <f>-0.0734072327538462*(0.3)</f>
        <v>-2.2022169826153844E-2</v>
      </c>
      <c r="H936">
        <f>-0.122345387923077*(0.3)</f>
        <v>-3.6703616376923077E-2</v>
      </c>
      <c r="I936">
        <f>-0.122345387923077*(0.3)</f>
        <v>-3.6703616376923077E-2</v>
      </c>
      <c r="J936">
        <f>0.0244690775846154*(0.3)</f>
        <v>7.3407232753846131E-3</v>
      </c>
      <c r="K936">
        <f>-0.122345387923077*(0.3)</f>
        <v>-3.6703616376923077E-2</v>
      </c>
      <c r="L936">
        <f>-0.0599492400823077*(0.3)</f>
        <v>-1.7984772024692307E-2</v>
      </c>
      <c r="M936">
        <f>-0.134579926715385*(0.3)</f>
        <v>-4.037397801461539E-2</v>
      </c>
      <c r="N936">
        <f>-0.122345387923077*(0.3)</f>
        <v>-3.6703616376923077E-2</v>
      </c>
    </row>
    <row r="937" spans="1:14" x14ac:dyDescent="0.25">
      <c r="A937">
        <f>-23.07475615*(0.3)</f>
        <v>-6.9224268449999995</v>
      </c>
      <c r="B937">
        <f>1.77498124230769*(0.3)</f>
        <v>0.5324943726923077</v>
      </c>
      <c r="C937">
        <f>5.32494372692308*(0.3)</f>
        <v>1.5974831180769229</v>
      </c>
      <c r="D937">
        <f>1.77498124230769*(0.3)</f>
        <v>0.5324943726923077</v>
      </c>
      <c r="E937">
        <f>1.77498124230769*(0.3)</f>
        <v>0.5324943726923077</v>
      </c>
      <c r="F937">
        <f>1.77498124230769*(0.3)</f>
        <v>0.5324943726923077</v>
      </c>
      <c r="G937">
        <f>1.06498874538462*(0.3)</f>
        <v>0.31949662361538461</v>
      </c>
      <c r="H937">
        <f>1.77498124230769*(0.3)</f>
        <v>0.5324943726923077</v>
      </c>
      <c r="I937">
        <f>1.77498124230769*(0.3)</f>
        <v>0.5324943726923077</v>
      </c>
      <c r="J937">
        <f>-0.354996248461538*(0.3)</f>
        <v>-0.1064988745384615</v>
      </c>
      <c r="K937">
        <f>1.77498124230769*(0.3)</f>
        <v>0.5324943726923077</v>
      </c>
      <c r="L937">
        <f>0.869740808730769*(0.3)</f>
        <v>0.26092224261923075</v>
      </c>
      <c r="M937">
        <f>1.95247936653846*(0.3)</f>
        <v>0.58574380996153852</v>
      </c>
      <c r="N937">
        <f>1.77498124230769*(0.3)</f>
        <v>0.5324943726923077</v>
      </c>
    </row>
    <row r="938" spans="1:14" x14ac:dyDescent="0.25">
      <c r="A938">
        <f>-0.669076934*(0.3)</f>
        <v>-0.20072308019999999</v>
      </c>
      <c r="B938">
        <f>0.0514674564615385*(0.3)</f>
        <v>1.5440236938461537E-2</v>
      </c>
      <c r="C938">
        <f>0.154402369384615*(0.3)</f>
        <v>4.6320710815384615E-2</v>
      </c>
      <c r="D938">
        <f>0.0514674564615385*(0.3)</f>
        <v>1.5440236938461537E-2</v>
      </c>
      <c r="E938">
        <f>0.0514674564615385*(0.3)</f>
        <v>1.5440236938461537E-2</v>
      </c>
      <c r="F938">
        <f>0.0514674564615385*(0.3)</f>
        <v>1.5440236938461537E-2</v>
      </c>
      <c r="G938">
        <f>0.0308804738769231*(0.3)</f>
        <v>9.2641421630769213E-3</v>
      </c>
      <c r="H938">
        <f>0.0514674564615385*(0.3)</f>
        <v>1.5440236938461537E-2</v>
      </c>
      <c r="I938">
        <f>0.0514674564615385*(0.3)</f>
        <v>1.5440236938461537E-2</v>
      </c>
      <c r="J938">
        <f>-0.0102934912923077*(0.3)</f>
        <v>-3.0880473876923071E-3</v>
      </c>
      <c r="K938">
        <f>0.0514674564615385*(0.3)</f>
        <v>1.5440236938461537E-2</v>
      </c>
      <c r="L938">
        <f>0.0252190536661538*(0.3)</f>
        <v>7.5657160998461532E-3</v>
      </c>
      <c r="M938">
        <f>0.0566142021076923*(0.3)</f>
        <v>1.6984260632307693E-2</v>
      </c>
      <c r="N938">
        <f>0.0514674564615385*(0.3)</f>
        <v>1.5440236938461537E-2</v>
      </c>
    </row>
    <row r="939" spans="1:14" x14ac:dyDescent="0.25">
      <c r="A939">
        <f>-23.11191116*(0.3)</f>
        <v>-6.9335733479999995</v>
      </c>
      <c r="B939">
        <f>1.77783932*(0.3)</f>
        <v>0.53335179599999993</v>
      </c>
      <c r="C939">
        <f>5.33351796*(0.3)</f>
        <v>1.6000553879999997</v>
      </c>
      <c r="D939">
        <f>1.77783932*(0.3)</f>
        <v>0.53335179599999993</v>
      </c>
      <c r="E939">
        <f>1.77783932*(0.3)</f>
        <v>0.53335179599999993</v>
      </c>
      <c r="F939">
        <f>1.77783932*(0.3)</f>
        <v>0.53335179599999993</v>
      </c>
      <c r="G939">
        <f>1.066703592*(0.3)</f>
        <v>0.32001107759999997</v>
      </c>
      <c r="H939">
        <f>1.77783932*(0.3)</f>
        <v>0.53335179599999993</v>
      </c>
      <c r="I939">
        <f>1.77783932*(0.3)</f>
        <v>0.53335179599999993</v>
      </c>
      <c r="J939">
        <f>-0.355567864*(0.3)</f>
        <v>-0.10667035919999997</v>
      </c>
      <c r="K939">
        <f>1.77783932*(0.3)</f>
        <v>0.53335179599999993</v>
      </c>
      <c r="L939">
        <f>0.8711412668*(0.3)</f>
        <v>0.26134238003999999</v>
      </c>
      <c r="M939">
        <f>1.955623252*(0.3)</f>
        <v>0.58668697559999994</v>
      </c>
      <c r="N939">
        <f>1.77783932*(0.3)</f>
        <v>0.53335179599999993</v>
      </c>
    </row>
    <row r="940" spans="1:14" x14ac:dyDescent="0.25">
      <c r="A940">
        <f>0.623741186*(0.3)</f>
        <v>0.18712235579999997</v>
      </c>
      <c r="B940">
        <f>-0.0479800912307692*(0.3)</f>
        <v>-1.4394027369230768E-2</v>
      </c>
      <c r="C940">
        <f>-0.143940273692308*(0.3)</f>
        <v>-4.3182082107692296E-2</v>
      </c>
      <c r="D940">
        <f>-0.0479800912307692*(0.3)</f>
        <v>-1.4394027369230768E-2</v>
      </c>
      <c r="E940">
        <f>-0.0479800912307692*(0.3)</f>
        <v>-1.4394027369230768E-2</v>
      </c>
      <c r="F940">
        <f>-0.0479800912307692*(0.3)</f>
        <v>-1.4394027369230768E-2</v>
      </c>
      <c r="G940">
        <f>-0.0287880547384615*(0.3)</f>
        <v>-8.6364164215384596E-3</v>
      </c>
      <c r="H940">
        <f>-0.0479800912307692*(0.3)</f>
        <v>-1.4394027369230768E-2</v>
      </c>
      <c r="I940">
        <f>-0.0479800912307692*(0.3)</f>
        <v>-1.4394027369230768E-2</v>
      </c>
      <c r="J940">
        <f>0.00959601824615384*(0.3)</f>
        <v>2.8788054738461528E-3</v>
      </c>
      <c r="K940">
        <f>-0.0479800912307692*(0.3)</f>
        <v>-1.4394027369230768E-2</v>
      </c>
      <c r="L940">
        <f>-0.0235102447030769*(0.3)</f>
        <v>-7.0530734109230751E-3</v>
      </c>
      <c r="M940">
        <f>-0.0527781003538462*(0.3)</f>
        <v>-1.5833430106153845E-2</v>
      </c>
      <c r="N940">
        <f>-0.0479800912307692*(0.3)</f>
        <v>-1.4394027369230768E-2</v>
      </c>
    </row>
    <row r="941" spans="1:14" x14ac:dyDescent="0.25">
      <c r="A941">
        <f>-32.05485444*(0.3)</f>
        <v>-9.6164563320000003</v>
      </c>
      <c r="B941">
        <f>2.46575803384615*(0.3)</f>
        <v>0.73972741015384613</v>
      </c>
      <c r="C941">
        <f>7.39727410153846*(0.3)</f>
        <v>2.2191822304615387</v>
      </c>
      <c r="D941">
        <f>2.46575803384615*(0.3)</f>
        <v>0.73972741015384613</v>
      </c>
      <c r="E941">
        <f>2.46575803384615*(0.3)</f>
        <v>0.73972741015384613</v>
      </c>
      <c r="F941">
        <f>2.46575803384615*(0.3)</f>
        <v>0.73972741015384613</v>
      </c>
      <c r="G941">
        <f>1.47945482030769*(0.3)</f>
        <v>0.44383644609230766</v>
      </c>
      <c r="H941">
        <f>2.46575803384615*(0.3)</f>
        <v>0.73972741015384613</v>
      </c>
      <c r="I941">
        <f>2.46575803384615*(0.3)</f>
        <v>0.73972741015384613</v>
      </c>
      <c r="J941">
        <f>-0.493151606769231*(0.3)</f>
        <v>-0.14794548203076921</v>
      </c>
      <c r="K941">
        <f>2.46575803384615*(0.3)</f>
        <v>0.73972741015384613</v>
      </c>
      <c r="L941">
        <f>1.20822143658462*(0.3)</f>
        <v>0.36246643097538461</v>
      </c>
      <c r="M941">
        <f>2.71233383723077*(0.3)</f>
        <v>0.81370015116923089</v>
      </c>
      <c r="N941">
        <f>2.46575803384615*(0.3)</f>
        <v>0.73972741015384613</v>
      </c>
    </row>
    <row r="942" spans="1:14" x14ac:dyDescent="0.25">
      <c r="A942">
        <f>1.785119695*(0.3)</f>
        <v>0.53553590849999999</v>
      </c>
      <c r="B942">
        <f>-0.137316899615385*(0.3)</f>
        <v>-4.1195069884615375E-2</v>
      </c>
      <c r="C942">
        <f>-0.411950698846154*(0.3)</f>
        <v>-0.12358520965384612</v>
      </c>
      <c r="D942">
        <f>-0.137316899615385*(0.3)</f>
        <v>-4.1195069884615375E-2</v>
      </c>
      <c r="E942">
        <f>-0.137316899615385*(0.3)</f>
        <v>-4.1195069884615375E-2</v>
      </c>
      <c r="F942">
        <f>-0.137316899615385*(0.3)</f>
        <v>-4.1195069884615375E-2</v>
      </c>
      <c r="G942">
        <f>-0.0823901397692307*(0.3)</f>
        <v>-2.4717041930769224E-2</v>
      </c>
      <c r="H942">
        <f>-0.137316899615385*(0.3)</f>
        <v>-4.1195069884615375E-2</v>
      </c>
      <c r="I942">
        <f>-0.137316899615385*(0.3)</f>
        <v>-4.1195069884615375E-2</v>
      </c>
      <c r="J942">
        <f>0.0274633799230769*(0.3)</f>
        <v>8.2390139769230736E-3</v>
      </c>
      <c r="K942">
        <f>-0.137316899615385*(0.3)</f>
        <v>-4.1195069884615375E-2</v>
      </c>
      <c r="L942">
        <f>-0.0672852808115385*(0.3)</f>
        <v>-2.0185584243461535E-2</v>
      </c>
      <c r="M942">
        <f>-0.151048589576923*(0.3)</f>
        <v>-4.5314576873076919E-2</v>
      </c>
      <c r="N942">
        <f>-0.137316899615385*(0.3)</f>
        <v>-4.1195069884615375E-2</v>
      </c>
    </row>
    <row r="943" spans="1:14" x14ac:dyDescent="0.25">
      <c r="A943">
        <f>-35.15217171*(0.3)</f>
        <v>-10.545651512999999</v>
      </c>
      <c r="B943">
        <f>2.70401320846154*(0.3)</f>
        <v>0.8112039625384615</v>
      </c>
      <c r="C943">
        <f>8.11203962538461*(0.3)</f>
        <v>2.4336118876153843</v>
      </c>
      <c r="D943">
        <f>2.70401320846154*(0.3)</f>
        <v>0.8112039625384615</v>
      </c>
      <c r="E943">
        <f>2.70401320846154*(0.3)</f>
        <v>0.8112039625384615</v>
      </c>
      <c r="F943">
        <f>2.70401320846154*(0.3)</f>
        <v>0.8112039625384615</v>
      </c>
      <c r="G943">
        <f>1.62240792507692*(0.3)</f>
        <v>0.4867223775230769</v>
      </c>
      <c r="H943">
        <f>2.70401320846154*(0.3)</f>
        <v>0.8112039625384615</v>
      </c>
      <c r="I943">
        <f>2.70401320846154*(0.3)</f>
        <v>0.8112039625384615</v>
      </c>
      <c r="J943">
        <f>-0.540802641692308*(0.3)</f>
        <v>-0.16224079250769227</v>
      </c>
      <c r="K943">
        <f>2.70401320846154*(0.3)</f>
        <v>0.8112039625384615</v>
      </c>
      <c r="L943">
        <f>1.32496647214615*(0.3)</f>
        <v>0.39748994164384616</v>
      </c>
      <c r="M943">
        <f>2.97441452930769*(0.3)</f>
        <v>0.89232435879230776</v>
      </c>
      <c r="N943">
        <f>2.70401320846154*(0.3)</f>
        <v>0.8112039625384615</v>
      </c>
    </row>
    <row r="944" spans="1:14" x14ac:dyDescent="0.25">
      <c r="A944">
        <f>0.503441398*(0.3)</f>
        <v>0.15103241939999998</v>
      </c>
      <c r="B944">
        <f>-0.0387262613846154*(0.3)</f>
        <v>-1.1617878415384615E-2</v>
      </c>
      <c r="C944">
        <f>-0.116178784153846*(0.3)</f>
        <v>-3.4853635246153848E-2</v>
      </c>
      <c r="D944">
        <f>-0.0387262613846154*(0.3)</f>
        <v>-1.1617878415384615E-2</v>
      </c>
      <c r="E944">
        <f>-0.0387262613846154*(0.3)</f>
        <v>-1.1617878415384615E-2</v>
      </c>
      <c r="F944">
        <f>-0.0387262613846154*(0.3)</f>
        <v>-1.1617878415384615E-2</v>
      </c>
      <c r="G944">
        <f>-0.0232357568307692*(0.3)</f>
        <v>-6.9707270492307691E-3</v>
      </c>
      <c r="H944">
        <f>-0.0387262613846154*(0.3)</f>
        <v>-1.1617878415384615E-2</v>
      </c>
      <c r="I944">
        <f>-0.0387262613846154*(0.3)</f>
        <v>-1.1617878415384615E-2</v>
      </c>
      <c r="J944">
        <f>0.00774525227692308*(0.3)</f>
        <v>2.3235756830769227E-3</v>
      </c>
      <c r="K944">
        <f>-0.0387262613846154*(0.3)</f>
        <v>-1.1617878415384615E-2</v>
      </c>
      <c r="L944">
        <f>-0.0189758680784615*(0.3)</f>
        <v>-5.6927604235384619E-3</v>
      </c>
      <c r="M944">
        <f>-0.0425988875230769*(0.3)</f>
        <v>-1.2779666256923079E-2</v>
      </c>
      <c r="N944">
        <f>-0.0387262613846154*(0.3)</f>
        <v>-1.1617878415384615E-2</v>
      </c>
    </row>
    <row r="945" spans="1:14" x14ac:dyDescent="0.25">
      <c r="A945">
        <f>-7.108895322*(0.3)</f>
        <v>-2.1326685965999999</v>
      </c>
      <c r="B945">
        <f>0.546838101692308*(0.3)</f>
        <v>0.1640514305076923</v>
      </c>
      <c r="C945">
        <f>1.64051430507692*(0.3)</f>
        <v>0.49215429152307699</v>
      </c>
      <c r="D945">
        <f>0.546838101692308*(0.3)</f>
        <v>0.1640514305076923</v>
      </c>
      <c r="E945">
        <f>0.546838101692308*(0.3)</f>
        <v>0.1640514305076923</v>
      </c>
      <c r="F945">
        <f>0.546838101692308*(0.3)</f>
        <v>0.1640514305076923</v>
      </c>
      <c r="G945">
        <f>0.328102861015385*(0.3)</f>
        <v>9.8430858304615385E-2</v>
      </c>
      <c r="H945">
        <f>0.546838101692308*(0.3)</f>
        <v>0.1640514305076923</v>
      </c>
      <c r="I945">
        <f>0.546838101692308*(0.3)</f>
        <v>0.1640514305076923</v>
      </c>
      <c r="J945">
        <f>-0.109367620338462*(0.3)</f>
        <v>-3.2810286101538452E-2</v>
      </c>
      <c r="K945">
        <f>0.546838101692308*(0.3)</f>
        <v>0.1640514305076923</v>
      </c>
      <c r="L945">
        <f>0.267950669829231*(0.3)</f>
        <v>8.0385200948769234E-2</v>
      </c>
      <c r="M945">
        <f>0.601521911861539*(0.3)</f>
        <v>0.18045657355846156</v>
      </c>
      <c r="N945">
        <f>0.546838101692308*(0.3)</f>
        <v>0.1640514305076923</v>
      </c>
    </row>
    <row r="946" spans="1:14" x14ac:dyDescent="0.25">
      <c r="A946">
        <f>-1.895349449*(0.3)</f>
        <v>-0.56860483470000001</v>
      </c>
      <c r="B946">
        <f>0.145796111461538*(0.3)</f>
        <v>4.3738833438461536E-2</v>
      </c>
      <c r="C946">
        <f>0.437388334384615*(0.3)</f>
        <v>0.13121650031538459</v>
      </c>
      <c r="D946">
        <f>0.145796111461538*(0.3)</f>
        <v>4.3738833438461536E-2</v>
      </c>
      <c r="E946">
        <f>0.145796111461538*(0.3)</f>
        <v>4.3738833438461536E-2</v>
      </c>
      <c r="F946">
        <f>0.145796111461538*(0.3)</f>
        <v>4.3738833438461536E-2</v>
      </c>
      <c r="G946">
        <f>0.0874776668769231*(0.3)</f>
        <v>2.6243300063076919E-2</v>
      </c>
      <c r="H946">
        <f>0.145796111461538*(0.3)</f>
        <v>4.3738833438461536E-2</v>
      </c>
      <c r="I946">
        <f>0.145796111461538*(0.3)</f>
        <v>4.3738833438461536E-2</v>
      </c>
      <c r="J946">
        <f>-0.0291592222923077*(0.3)</f>
        <v>-8.7477666876923047E-3</v>
      </c>
      <c r="K946">
        <f>0.145796111461538*(0.3)</f>
        <v>4.3738833438461536E-2</v>
      </c>
      <c r="L946">
        <f>0.0714400946161538*(0.3)</f>
        <v>2.1432028384846154E-2</v>
      </c>
      <c r="M946">
        <f>0.160375722607692*(0.3)</f>
        <v>4.8112716782307691E-2</v>
      </c>
      <c r="N946">
        <f>0.145796111461538*(0.3)</f>
        <v>4.3738833438461536E-2</v>
      </c>
    </row>
    <row r="947" spans="1:14" x14ac:dyDescent="0.25">
      <c r="A947">
        <f>-14.26205397*(0.3)</f>
        <v>-4.2786161910000002</v>
      </c>
      <c r="B947">
        <f>1.09708107461538*(0.3)</f>
        <v>0.32912432238461542</v>
      </c>
      <c r="C947">
        <f>3.29124322384615*(0.3)</f>
        <v>0.98737296715384626</v>
      </c>
      <c r="D947">
        <f>1.09708107461538*(0.3)</f>
        <v>0.32912432238461542</v>
      </c>
      <c r="E947">
        <f>1.09708107461538*(0.3)</f>
        <v>0.32912432238461542</v>
      </c>
      <c r="F947">
        <f>1.09708107461538*(0.3)</f>
        <v>0.32912432238461542</v>
      </c>
      <c r="G947">
        <f>0.658248644769231*(0.3)</f>
        <v>0.19747459343076926</v>
      </c>
      <c r="H947">
        <f>1.09708107461538*(0.3)</f>
        <v>0.32912432238461542</v>
      </c>
      <c r="I947">
        <f>1.09708107461538*(0.3)</f>
        <v>0.32912432238461542</v>
      </c>
      <c r="J947">
        <f>-0.219416214923077*(0.3)</f>
        <v>-6.5824864476923067E-2</v>
      </c>
      <c r="K947">
        <f>1.09708107461538*(0.3)</f>
        <v>0.32912432238461542</v>
      </c>
      <c r="L947">
        <f>0.537569726561539*(0.3)</f>
        <v>0.16127091796846157</v>
      </c>
      <c r="M947">
        <f>1.20678918207692*(0.3)</f>
        <v>0.36203675462307694</v>
      </c>
      <c r="N947">
        <f>1.09708107461538*(0.3)</f>
        <v>0.32912432238461542</v>
      </c>
    </row>
    <row r="948" spans="1:14" x14ac:dyDescent="0.25">
      <c r="A948">
        <f>0.745656519*(0.3)</f>
        <v>0.22369695569999998</v>
      </c>
      <c r="B948">
        <f>-0.0573581937692308*(0.3)</f>
        <v>-1.7207458130769227E-2</v>
      </c>
      <c r="C948">
        <f>-0.172074581307692*(0.3)</f>
        <v>-5.1622374392307685E-2</v>
      </c>
      <c r="D948">
        <f>-0.0573581937692308*(0.3)</f>
        <v>-1.7207458130769227E-2</v>
      </c>
      <c r="E948">
        <f>-0.0573581937692308*(0.3)</f>
        <v>-1.7207458130769227E-2</v>
      </c>
      <c r="F948">
        <f>-0.0573581937692308*(0.3)</f>
        <v>-1.7207458130769227E-2</v>
      </c>
      <c r="G948">
        <f>-0.0344149162615385*(0.3)</f>
        <v>-1.0324474878461536E-2</v>
      </c>
      <c r="H948">
        <f>-0.0573581937692308*(0.3)</f>
        <v>-1.7207458130769227E-2</v>
      </c>
      <c r="I948">
        <f>-0.0573581937692308*(0.3)</f>
        <v>-1.7207458130769227E-2</v>
      </c>
      <c r="J948">
        <f>0.0114716387538461*(0.3)</f>
        <v>3.441491626153845E-3</v>
      </c>
      <c r="K948">
        <f>-0.0573581937692308*(0.3)</f>
        <v>-1.7207458130769227E-2</v>
      </c>
      <c r="L948">
        <f>-0.0281055149469231*(0.3)</f>
        <v>-8.4316544840769211E-3</v>
      </c>
      <c r="M948">
        <f>-0.0630940131461538*(0.3)</f>
        <v>-1.8928203943846152E-2</v>
      </c>
      <c r="N948">
        <f>-0.0573581937692308*(0.3)</f>
        <v>-1.7207458130769227E-2</v>
      </c>
    </row>
    <row r="949" spans="1:14" x14ac:dyDescent="0.25">
      <c r="A949">
        <f>-20.69273726*(0.3)</f>
        <v>-6.2078211780000006</v>
      </c>
      <c r="B949">
        <f>1.59174902*(0.3)</f>
        <v>0.47752470600000002</v>
      </c>
      <c r="C949">
        <f>4.77524706*(0.3)</f>
        <v>1.4325741180000002</v>
      </c>
      <c r="D949">
        <f>1.59174902*(0.3)</f>
        <v>0.47752470600000002</v>
      </c>
      <c r="E949">
        <f>1.59174902*(0.3)</f>
        <v>0.47752470600000002</v>
      </c>
      <c r="F949">
        <f>1.59174902*(0.3)</f>
        <v>0.47752470600000002</v>
      </c>
      <c r="G949">
        <f>0.955049412*(0.3)</f>
        <v>0.28651482360000002</v>
      </c>
      <c r="H949">
        <f>1.59174902*(0.3)</f>
        <v>0.47752470600000002</v>
      </c>
      <c r="I949">
        <f>1.59174902*(0.3)</f>
        <v>0.47752470600000002</v>
      </c>
      <c r="J949">
        <f>-0.318349804*(0.3)</f>
        <v>-9.5504941199999985E-2</v>
      </c>
      <c r="K949">
        <f>1.59174902*(0.3)</f>
        <v>0.47752470600000002</v>
      </c>
      <c r="L949">
        <f>0.7799570198*(0.3)</f>
        <v>0.23398710594000002</v>
      </c>
      <c r="M949">
        <f>1.750923922*(0.3)</f>
        <v>0.52527717660000006</v>
      </c>
      <c r="N949">
        <f>1.59174902*(0.3)</f>
        <v>0.47752470600000002</v>
      </c>
    </row>
    <row r="950" spans="1:14" x14ac:dyDescent="0.25">
      <c r="A950">
        <f>-0.433089324*(0.3)</f>
        <v>-0.1299267972</v>
      </c>
      <c r="B950">
        <f>0.0333145633846154*(0.3)</f>
        <v>9.9943690153846149E-3</v>
      </c>
      <c r="C950">
        <f>0.0999436901538462*(0.3)</f>
        <v>2.9983107046153847E-2</v>
      </c>
      <c r="D950">
        <f>0.0333145633846154*(0.3)</f>
        <v>9.9943690153846149E-3</v>
      </c>
      <c r="E950">
        <f>0.0333145633846154*(0.3)</f>
        <v>9.9943690153846149E-3</v>
      </c>
      <c r="F950">
        <f>0.0333145633846154*(0.3)</f>
        <v>9.9943690153846149E-3</v>
      </c>
      <c r="G950">
        <f>0.0199887380307692*(0.3)</f>
        <v>5.9966214092307688E-3</v>
      </c>
      <c r="H950">
        <f>0.0333145633846154*(0.3)</f>
        <v>9.9943690153846149E-3</v>
      </c>
      <c r="I950">
        <f>0.0333145633846154*(0.3)</f>
        <v>9.9943690153846149E-3</v>
      </c>
      <c r="J950">
        <f>-0.00666291267692308*(0.3)</f>
        <v>-1.9988738030769226E-3</v>
      </c>
      <c r="K950">
        <f>0.0333145633846154*(0.3)</f>
        <v>9.9943690153846149E-3</v>
      </c>
      <c r="L950">
        <f>0.0163241360584615*(0.3)</f>
        <v>4.897240817538462E-3</v>
      </c>
      <c r="M950">
        <f>0.0366460197230769*(0.3)</f>
        <v>1.0993805916923078E-2</v>
      </c>
      <c r="N950">
        <f>0.0333145633846154*(0.3)</f>
        <v>9.9943690153846149E-3</v>
      </c>
    </row>
    <row r="951" spans="1:14" x14ac:dyDescent="0.25">
      <c r="A951">
        <f>-20.56516755*(0.3)</f>
        <v>-6.1695502650000007</v>
      </c>
      <c r="B951">
        <f>1.58193596538462*(0.3)</f>
        <v>0.47458078961538464</v>
      </c>
      <c r="C951">
        <f>4.74580789615385*(0.3)</f>
        <v>1.4237423688461539</v>
      </c>
      <c r="D951">
        <f>1.58193596538462*(0.3)</f>
        <v>0.47458078961538464</v>
      </c>
      <c r="E951">
        <f>1.58193596538462*(0.3)</f>
        <v>0.47458078961538464</v>
      </c>
      <c r="F951">
        <f>1.58193596538462*(0.3)</f>
        <v>0.47458078961538464</v>
      </c>
      <c r="G951">
        <f>0.949161579230769*(0.3)</f>
        <v>0.28474847376923079</v>
      </c>
      <c r="H951">
        <f>1.58193596538462*(0.3)</f>
        <v>0.47458078961538464</v>
      </c>
      <c r="I951">
        <f>1.58193596538462*(0.3)</f>
        <v>0.47458078961538464</v>
      </c>
      <c r="J951">
        <f>-0.316387193076923*(0.3)</f>
        <v>-9.4916157923076908E-2</v>
      </c>
      <c r="K951">
        <f>1.58193596538462*(0.3)</f>
        <v>0.47458078961538464</v>
      </c>
      <c r="L951">
        <f>0.775148623038462*(0.3)</f>
        <v>0.23254458691153845</v>
      </c>
      <c r="M951">
        <f>1.74012956192308*(0.3)</f>
        <v>0.52203886857692317</v>
      </c>
      <c r="N951">
        <f>1.58193596538462*(0.3)</f>
        <v>0.47458078961538464</v>
      </c>
    </row>
    <row r="952" spans="1:14" x14ac:dyDescent="0.25">
      <c r="A952">
        <f>1.262637154*(0.3)</f>
        <v>0.37879114620000004</v>
      </c>
      <c r="B952">
        <f>-0.0971259349230769*(0.3)</f>
        <v>-2.9137780476923079E-2</v>
      </c>
      <c r="C952">
        <f>-0.291377804769231*(0.3)</f>
        <v>-8.7413341430769245E-2</v>
      </c>
      <c r="D952">
        <f>-0.0971259349230769*(0.3)</f>
        <v>-2.9137780476923079E-2</v>
      </c>
      <c r="E952">
        <f>-0.0971259349230769*(0.3)</f>
        <v>-2.9137780476923079E-2</v>
      </c>
      <c r="F952">
        <f>-0.0971259349230769*(0.3)</f>
        <v>-2.9137780476923079E-2</v>
      </c>
      <c r="G952">
        <f>-0.0582755609538462*(0.3)</f>
        <v>-1.7482668286153847E-2</v>
      </c>
      <c r="H952">
        <f>-0.0971259349230769*(0.3)</f>
        <v>-2.9137780476923079E-2</v>
      </c>
      <c r="I952">
        <f>-0.0971259349230769*(0.3)</f>
        <v>-2.9137780476923079E-2</v>
      </c>
      <c r="J952">
        <f>0.0194251869846154*(0.3)</f>
        <v>5.8275560953846145E-3</v>
      </c>
      <c r="K952">
        <f>-0.0971259349230769*(0.3)</f>
        <v>-2.9137780476923079E-2</v>
      </c>
      <c r="L952">
        <f>-0.0475917081123077*(0.3)</f>
        <v>-1.4277512433692307E-2</v>
      </c>
      <c r="M952">
        <f>-0.106838528415385*(0.3)</f>
        <v>-3.2051558524615387E-2</v>
      </c>
      <c r="N952">
        <f>-0.0971259349230769*(0.3)</f>
        <v>-2.9137780476923079E-2</v>
      </c>
    </row>
    <row r="953" spans="1:14" x14ac:dyDescent="0.25">
      <c r="A953">
        <f>-21.76402163*(0.3)</f>
        <v>-6.529206488999999</v>
      </c>
      <c r="B953">
        <f>1.67415551*(0.3)</f>
        <v>0.50224665299999993</v>
      </c>
      <c r="C953">
        <f>5.02246653*(0.3)</f>
        <v>1.5067399589999997</v>
      </c>
      <c r="D953">
        <f>1.67415551*(0.3)</f>
        <v>0.50224665299999993</v>
      </c>
      <c r="E953">
        <f>1.67415551*(0.3)</f>
        <v>0.50224665299999993</v>
      </c>
      <c r="F953">
        <f>1.67415551*(0.3)</f>
        <v>0.50224665299999993</v>
      </c>
      <c r="G953">
        <f>1.004493306*(0.3)</f>
        <v>0.30134799179999994</v>
      </c>
      <c r="H953">
        <f>1.67415551*(0.3)</f>
        <v>0.50224665299999993</v>
      </c>
      <c r="I953">
        <f>1.67415551*(0.3)</f>
        <v>0.50224665299999993</v>
      </c>
      <c r="J953">
        <f>-0.334831102*(0.3)</f>
        <v>-0.10044933059999996</v>
      </c>
      <c r="K953">
        <f>1.67415551*(0.3)</f>
        <v>0.50224665299999993</v>
      </c>
      <c r="L953">
        <f>0.8203361999*(0.3)</f>
        <v>0.24610085996999997</v>
      </c>
      <c r="M953">
        <f>1.841571061*(0.3)</f>
        <v>0.55247131829999996</v>
      </c>
      <c r="N953">
        <f>1.67415551*(0.3)</f>
        <v>0.50224665299999993</v>
      </c>
    </row>
    <row r="954" spans="1:14" x14ac:dyDescent="0.25">
      <c r="A954">
        <f>-3.714144634*(0.3)</f>
        <v>-1.1142433902</v>
      </c>
      <c r="B954">
        <f>0.285703433384615*(0.3)</f>
        <v>8.5711030015384618E-2</v>
      </c>
      <c r="C954">
        <f>0.857110300153846*(0.3)</f>
        <v>0.25713309004615387</v>
      </c>
      <c r="D954">
        <f>0.285703433384615*(0.3)</f>
        <v>8.5711030015384618E-2</v>
      </c>
      <c r="E954">
        <f>0.285703433384615*(0.3)</f>
        <v>8.5711030015384618E-2</v>
      </c>
      <c r="F954">
        <f>0.285703433384615*(0.3)</f>
        <v>8.5711030015384618E-2</v>
      </c>
      <c r="G954">
        <f>0.171422060030769*(0.3)</f>
        <v>5.1426618009230769E-2</v>
      </c>
      <c r="H954">
        <f>0.285703433384615*(0.3)</f>
        <v>8.5711030015384618E-2</v>
      </c>
      <c r="I954">
        <f>0.285703433384615*(0.3)</f>
        <v>8.5711030015384618E-2</v>
      </c>
      <c r="J954">
        <f>-0.0571406866769231*(0.3)</f>
        <v>-1.7142206003076921E-2</v>
      </c>
      <c r="K954">
        <f>0.285703433384615*(0.3)</f>
        <v>8.5711030015384618E-2</v>
      </c>
      <c r="L954">
        <f>0.139994682358462*(0.3)</f>
        <v>4.1998404707538461E-2</v>
      </c>
      <c r="M954">
        <f>0.314273776723077*(0.3)</f>
        <v>9.4282133016923092E-2</v>
      </c>
      <c r="N954">
        <f>0.285703433384615*(0.3)</f>
        <v>8.5711030015384618E-2</v>
      </c>
    </row>
    <row r="955" spans="1:14" x14ac:dyDescent="0.25">
      <c r="A955">
        <f>-29.23381841*(0.3)</f>
        <v>-8.7701455230000001</v>
      </c>
      <c r="B955">
        <f>2.24875526230769*(0.3)</f>
        <v>0.67462657869230769</v>
      </c>
      <c r="C955">
        <f>6.74626578692308*(0.3)</f>
        <v>2.023879736076923</v>
      </c>
      <c r="D955">
        <f>2.24875526230769*(0.3)</f>
        <v>0.67462657869230769</v>
      </c>
      <c r="E955">
        <f>2.24875526230769*(0.3)</f>
        <v>0.67462657869230769</v>
      </c>
      <c r="F955">
        <f>2.24875526230769*(0.3)</f>
        <v>0.67462657869230769</v>
      </c>
      <c r="G955">
        <f>1.34925315738462*(0.3)</f>
        <v>0.40477594721538462</v>
      </c>
      <c r="H955">
        <f>2.24875526230769*(0.3)</f>
        <v>0.67462657869230769</v>
      </c>
      <c r="I955">
        <f>2.24875526230769*(0.3)</f>
        <v>0.67462657869230769</v>
      </c>
      <c r="J955">
        <f>-0.449751052461538*(0.3)</f>
        <v>-0.1349253157384615</v>
      </c>
      <c r="K955">
        <f>2.24875526230769*(0.3)</f>
        <v>0.67462657869230769</v>
      </c>
      <c r="L955">
        <f>1.10189007853077*(0.3)</f>
        <v>0.33056702355923079</v>
      </c>
      <c r="M955">
        <f>2.47363078853846*(0.3)</f>
        <v>0.74208923656153858</v>
      </c>
      <c r="N955">
        <f>2.24875526230769*(0.3)</f>
        <v>0.67462657869230769</v>
      </c>
    </row>
    <row r="956" spans="1:14" x14ac:dyDescent="0.25">
      <c r="A956">
        <f>0.562635011*(0.3)</f>
        <v>0.16879050330000001</v>
      </c>
      <c r="B956">
        <f>-0.0432796162307692*(0.3)</f>
        <v>-1.2983884869230768E-2</v>
      </c>
      <c r="C956">
        <f>-0.129838848692308*(0.3)</f>
        <v>-3.8951654607692308E-2</v>
      </c>
      <c r="D956">
        <f>-0.0432796162307692*(0.3)</f>
        <v>-1.2983884869230768E-2</v>
      </c>
      <c r="E956">
        <f>-0.0432796162307692*(0.3)</f>
        <v>-1.2983884869230768E-2</v>
      </c>
      <c r="F956">
        <f>-0.0432796162307692*(0.3)</f>
        <v>-1.2983884869230768E-2</v>
      </c>
      <c r="G956">
        <f>-0.0259677697384615*(0.3)</f>
        <v>-7.7903309215384608E-3</v>
      </c>
      <c r="H956">
        <f>-0.0432796162307692*(0.3)</f>
        <v>-1.2983884869230768E-2</v>
      </c>
      <c r="I956">
        <f>-0.0432796162307692*(0.3)</f>
        <v>-1.2983884869230768E-2</v>
      </c>
      <c r="J956">
        <f>0.00865592324615384*(0.3)</f>
        <v>2.5967769738461529E-3</v>
      </c>
      <c r="K956">
        <f>-0.0432796162307692*(0.3)</f>
        <v>-1.2983884869230768E-2</v>
      </c>
      <c r="L956">
        <f>-0.0212070119530769*(0.3)</f>
        <v>-6.3621035859230757E-3</v>
      </c>
      <c r="M956">
        <f>-0.0476075778538462*(0.3)</f>
        <v>-1.4282273356153848E-2</v>
      </c>
      <c r="N956">
        <f>-0.0432796162307692*(0.3)</f>
        <v>-1.2983884869230768E-2</v>
      </c>
    </row>
    <row r="957" spans="1:14" x14ac:dyDescent="0.25">
      <c r="A957">
        <f>-32.52788088*(0.3)</f>
        <v>-9.758364263999999</v>
      </c>
      <c r="B957">
        <f>2.50214468307692*(0.3)</f>
        <v>0.75064340492307691</v>
      </c>
      <c r="C957">
        <f>7.50643404923077*(0.3)</f>
        <v>2.2519302147692306</v>
      </c>
      <c r="D957">
        <f>2.50214468307692*(0.3)</f>
        <v>0.75064340492307691</v>
      </c>
      <c r="E957">
        <f>2.50214468307692*(0.3)</f>
        <v>0.75064340492307691</v>
      </c>
      <c r="F957">
        <f>2.50214468307692*(0.3)</f>
        <v>0.75064340492307691</v>
      </c>
      <c r="G957">
        <f>1.50128680984615*(0.3)</f>
        <v>0.4503860429538461</v>
      </c>
      <c r="H957">
        <f>2.50214468307692*(0.3)</f>
        <v>0.75064340492307691</v>
      </c>
      <c r="I957">
        <f>2.50214468307692*(0.3)</f>
        <v>0.75064340492307691</v>
      </c>
      <c r="J957">
        <f>-0.500428936615384*(0.3)</f>
        <v>-0.15012868098461532</v>
      </c>
      <c r="K957">
        <f>2.50214468307692*(0.3)</f>
        <v>0.75064340492307691</v>
      </c>
      <c r="L957">
        <f>1.22605089470769*(0.3)</f>
        <v>0.36781526841230766</v>
      </c>
      <c r="M957">
        <f>2.75235915138462*(0.3)</f>
        <v>0.82570774541538461</v>
      </c>
      <c r="N957">
        <f>2.50214468307692*(0.3)</f>
        <v>0.75064340492307691</v>
      </c>
    </row>
    <row r="958" spans="1:14" x14ac:dyDescent="0.25">
      <c r="A958">
        <f>0.291242515*(0.3)</f>
        <v>8.7372754499999997E-2</v>
      </c>
      <c r="B958">
        <f>-0.0224032703846154*(0.3)</f>
        <v>-6.7209811153846151E-3</v>
      </c>
      <c r="C958">
        <f>-0.0672098111538462*(0.3)</f>
        <v>-2.0162943346153844E-2</v>
      </c>
      <c r="D958">
        <f>-0.0224032703846154*(0.3)</f>
        <v>-6.7209811153846151E-3</v>
      </c>
      <c r="E958">
        <f>-0.0224032703846154*(0.3)</f>
        <v>-6.7209811153846151E-3</v>
      </c>
      <c r="F958">
        <f>-0.0224032703846154*(0.3)</f>
        <v>-6.7209811153846151E-3</v>
      </c>
      <c r="G958">
        <f>-0.0134419622307692*(0.3)</f>
        <v>-4.032588669230769E-3</v>
      </c>
      <c r="H958">
        <f>-0.0224032703846154*(0.3)</f>
        <v>-6.7209811153846151E-3</v>
      </c>
      <c r="I958">
        <f>-0.0224032703846154*(0.3)</f>
        <v>-6.7209811153846151E-3</v>
      </c>
      <c r="J958">
        <f>0.00448065407692308*(0.3)</f>
        <v>1.3441962230769228E-3</v>
      </c>
      <c r="K958">
        <f>-0.0224032703846154*(0.3)</f>
        <v>-6.7209811153846151E-3</v>
      </c>
      <c r="L958">
        <f>-0.0109776024884615*(0.3)</f>
        <v>-3.2932807465384612E-3</v>
      </c>
      <c r="M958">
        <f>-0.0246435974230769*(0.3)</f>
        <v>-7.393079226923077E-3</v>
      </c>
      <c r="N958">
        <f>-0.0224032703846154*(0.3)</f>
        <v>-6.7209811153846151E-3</v>
      </c>
    </row>
    <row r="959" spans="1:14" x14ac:dyDescent="0.25">
      <c r="A959">
        <f>-40.01237856*(0.3)</f>
        <v>-12.003713568</v>
      </c>
      <c r="B959">
        <f>3.07787527384615*(0.3)</f>
        <v>0.92336258215384615</v>
      </c>
      <c r="C959">
        <f>9.23362582153846*(0.3)</f>
        <v>2.7700877464615385</v>
      </c>
      <c r="D959">
        <f>3.07787527384615*(0.3)</f>
        <v>0.92336258215384615</v>
      </c>
      <c r="E959">
        <f>3.07787527384615*(0.3)</f>
        <v>0.92336258215384615</v>
      </c>
      <c r="F959">
        <f>3.07787527384615*(0.3)</f>
        <v>0.92336258215384615</v>
      </c>
      <c r="G959">
        <f>1.84672516430769*(0.3)</f>
        <v>0.55401754929230762</v>
      </c>
      <c r="H959">
        <f>3.07787527384615*(0.3)</f>
        <v>0.92336258215384615</v>
      </c>
      <c r="I959">
        <f>3.07787527384615*(0.3)</f>
        <v>0.92336258215384615</v>
      </c>
      <c r="J959">
        <f>-0.615575054769231*(0.3)</f>
        <v>-0.18467251643076921</v>
      </c>
      <c r="K959">
        <f>3.07787527384615*(0.3)</f>
        <v>0.92336258215384615</v>
      </c>
      <c r="L959">
        <f>1.50815888418462*(0.3)</f>
        <v>0.4524476652553846</v>
      </c>
      <c r="M959">
        <f>3.38566280123077*(0.3)</f>
        <v>1.0156988403692309</v>
      </c>
      <c r="N959">
        <f>3.07787527384615*(0.3)</f>
        <v>0.92336258215384615</v>
      </c>
    </row>
    <row r="960" spans="1:14" x14ac:dyDescent="0.25">
      <c r="A960">
        <f>-0.481751927*(0.3)</f>
        <v>-0.1445255781</v>
      </c>
      <c r="B960">
        <f>0.0370578405384615*(0.3)</f>
        <v>1.1117352161538462E-2</v>
      </c>
      <c r="C960">
        <f>0.111173521615385*(0.3)</f>
        <v>3.3352056484615387E-2</v>
      </c>
      <c r="D960">
        <f>0.0370578405384615*(0.3)</f>
        <v>1.1117352161538462E-2</v>
      </c>
      <c r="E960">
        <f>0.0370578405384615*(0.3)</f>
        <v>1.1117352161538462E-2</v>
      </c>
      <c r="F960">
        <f>0.0370578405384615*(0.3)</f>
        <v>1.1117352161538462E-2</v>
      </c>
      <c r="G960">
        <f>0.0222347043230769*(0.3)</f>
        <v>6.6704112969230766E-3</v>
      </c>
      <c r="H960">
        <f>0.0370578405384615*(0.3)</f>
        <v>1.1117352161538462E-2</v>
      </c>
      <c r="I960">
        <f>0.0370578405384615*(0.3)</f>
        <v>1.1117352161538462E-2</v>
      </c>
      <c r="J960">
        <f>-0.00741156810769231*(0.3)</f>
        <v>-2.2234704323076918E-3</v>
      </c>
      <c r="K960">
        <f>0.0370578405384615*(0.3)</f>
        <v>1.1117352161538462E-2</v>
      </c>
      <c r="L960">
        <f>0.0181583418638462*(0.3)</f>
        <v>5.4475025591538464E-3</v>
      </c>
      <c r="M960">
        <f>0.0407636245923077*(0.3)</f>
        <v>1.2229087377692309E-2</v>
      </c>
      <c r="N960">
        <f>0.0370578405384615*(0.3)</f>
        <v>1.1117352161538462E-2</v>
      </c>
    </row>
    <row r="961" spans="1:14" x14ac:dyDescent="0.25">
      <c r="A961">
        <f>44.94005069*(0.3)</f>
        <v>13.482015207</v>
      </c>
      <c r="B961">
        <f>-3.45692697615385*(0.3)</f>
        <v>-1.0370780928461538</v>
      </c>
      <c r="C961">
        <f>-10.3707809284615*(0.3)</f>
        <v>-3.1112342785384617</v>
      </c>
      <c r="D961">
        <f>-3.45692697615385*(0.3)</f>
        <v>-1.0370780928461538</v>
      </c>
      <c r="E961">
        <f>-3.45692697615385*(0.3)</f>
        <v>-1.0370780928461538</v>
      </c>
      <c r="F961">
        <f>-3.45692697615385*(0.3)</f>
        <v>-1.0370780928461538</v>
      </c>
      <c r="G961">
        <f>-2.07415618569231*(0.3)</f>
        <v>-0.62224685570769223</v>
      </c>
      <c r="H961">
        <f>-3.45692697615385*(0.3)</f>
        <v>-1.0370780928461538</v>
      </c>
      <c r="I961">
        <f>-3.45692697615385*(0.3)</f>
        <v>-1.0370780928461538</v>
      </c>
      <c r="J961">
        <f>0.691385395230769*(0.3)</f>
        <v>0.20741561856923071</v>
      </c>
      <c r="K961">
        <f>-3.45692697615385*(0.3)</f>
        <v>-1.0370780928461538</v>
      </c>
      <c r="L961">
        <f>-1.69389421831538*(0.3)</f>
        <v>-0.50816826549461536</v>
      </c>
      <c r="M961">
        <f>-3.80261967376923*(0.3)</f>
        <v>-1.1407859021307691</v>
      </c>
      <c r="N961">
        <f>-3.45692697615385*(0.3)</f>
        <v>-1.0370780928461538</v>
      </c>
    </row>
    <row r="962" spans="1:14" x14ac:dyDescent="0.25">
      <c r="A962">
        <f>767.4769147*(0.3)</f>
        <v>230.24307440999996</v>
      </c>
      <c r="B962">
        <f>-59.0366857461538*(0.3)</f>
        <v>-17.711005723846153</v>
      </c>
      <c r="C962">
        <f>-177.110057238462*(0.3)</f>
        <v>-53.133017171538462</v>
      </c>
      <c r="D962">
        <f>-59.0366857461538*(0.3)</f>
        <v>-17.711005723846153</v>
      </c>
      <c r="E962">
        <f>-59.0366857461538*(0.3)</f>
        <v>-17.711005723846153</v>
      </c>
      <c r="F962">
        <f>-59.0366857461538*(0.3)</f>
        <v>-17.711005723846153</v>
      </c>
      <c r="G962">
        <f>-35.4220114476923*(0.3)</f>
        <v>-10.626603434307691</v>
      </c>
      <c r="H962">
        <f>-59.0366857461538*(0.3)</f>
        <v>-17.711005723846153</v>
      </c>
      <c r="I962">
        <f>-59.0366857461538*(0.3)</f>
        <v>-17.711005723846153</v>
      </c>
      <c r="J962">
        <f>11.8073371492308*(0.3)</f>
        <v>3.5422011447692299</v>
      </c>
      <c r="K962">
        <f>-59.0366857461538*(0.3)</f>
        <v>-17.711005723846153</v>
      </c>
      <c r="L962">
        <f>-28.9279760156154*(0.3)</f>
        <v>-8.6783928046846146</v>
      </c>
      <c r="M962">
        <f>-64.9403543207692*(0.3)</f>
        <v>-19.482106296230768</v>
      </c>
      <c r="N962">
        <f>-59.0366857461538*(0.3)</f>
        <v>-17.711005723846153</v>
      </c>
    </row>
    <row r="963" spans="1:14" x14ac:dyDescent="0.25">
      <c r="A963">
        <f>62.76812224*(0.3)</f>
        <v>18.830436671999998</v>
      </c>
      <c r="B963">
        <f>-4.82831709538462*(0.3)</f>
        <v>-1.4484951286153844</v>
      </c>
      <c r="C963">
        <f>-14.4849512861538*(0.3)</f>
        <v>-4.3454853858461533</v>
      </c>
      <c r="D963">
        <f>-4.82831709538462*(0.3)</f>
        <v>-1.4484951286153844</v>
      </c>
      <c r="E963">
        <f>-4.82831709538462*(0.3)</f>
        <v>-1.4484951286153844</v>
      </c>
      <c r="F963">
        <f>-4.82831709538462*(0.3)</f>
        <v>-1.4484951286153844</v>
      </c>
      <c r="G963">
        <f>-2.89699025723077*(0.3)</f>
        <v>-0.86909707716923068</v>
      </c>
      <c r="H963">
        <f>-4.82831709538462*(0.3)</f>
        <v>-1.4484951286153844</v>
      </c>
      <c r="I963">
        <f>-4.82831709538462*(0.3)</f>
        <v>-1.4484951286153844</v>
      </c>
      <c r="J963">
        <f>0.965663419076923*(0.3)</f>
        <v>0.28969902572307682</v>
      </c>
      <c r="K963">
        <f>-4.82831709538462*(0.3)</f>
        <v>-1.4484951286153844</v>
      </c>
      <c r="L963">
        <f>-2.36587537673846*(0.3)</f>
        <v>-0.70976261302153831</v>
      </c>
      <c r="M963">
        <f>-5.31114880492308*(0.3)</f>
        <v>-1.593344641476923</v>
      </c>
      <c r="N963">
        <f>-4.82831709538462*(0.3)</f>
        <v>-1.4484951286153844</v>
      </c>
    </row>
    <row r="964" spans="1:14" x14ac:dyDescent="0.25">
      <c r="A964">
        <f>1033.989942*(0.3)</f>
        <v>310.19698259999996</v>
      </c>
      <c r="B964">
        <f>-79.5376878461538*(0.3)</f>
        <v>-23.861306353846153</v>
      </c>
      <c r="C964">
        <f>-238.613063538462*(0.3)</f>
        <v>-71.583919061538452</v>
      </c>
      <c r="D964">
        <f>-79.5376878461538*(0.3)</f>
        <v>-23.861306353846153</v>
      </c>
      <c r="E964">
        <f>-79.5376878461538*(0.3)</f>
        <v>-23.861306353846153</v>
      </c>
      <c r="F964">
        <f>-79.5376878461538*(0.3)</f>
        <v>-23.861306353846153</v>
      </c>
      <c r="G964">
        <f>-47.7226127076923*(0.3)</f>
        <v>-14.316783812307692</v>
      </c>
      <c r="H964">
        <f>-79.5376878461538*(0.3)</f>
        <v>-23.861306353846153</v>
      </c>
      <c r="I964">
        <f>-79.5376878461538*(0.3)</f>
        <v>-23.861306353846153</v>
      </c>
      <c r="J964">
        <f>15.9075375692308*(0.3)</f>
        <v>4.7722612707692296</v>
      </c>
      <c r="K964">
        <f>-79.5376878461538*(0.3)</f>
        <v>-23.861306353846153</v>
      </c>
      <c r="L964">
        <f>-38.9734670446154*(0.3)</f>
        <v>-11.692040113384614</v>
      </c>
      <c r="M964">
        <f>-87.4914566307692*(0.3)</f>
        <v>-26.247436989230771</v>
      </c>
      <c r="N964">
        <f>-79.5376878461538*(0.3)</f>
        <v>-23.861306353846153</v>
      </c>
    </row>
    <row r="965" spans="1:14" x14ac:dyDescent="0.25">
      <c r="A965">
        <f>76.74638249*(0.3)</f>
        <v>23.023914746999999</v>
      </c>
      <c r="B965">
        <f>-5.90356788384615*(0.3)</f>
        <v>-1.7710703651538462</v>
      </c>
      <c r="C965">
        <f>-17.7107036515385*(0.3)</f>
        <v>-5.313211095461539</v>
      </c>
      <c r="D965">
        <f>-5.90356788384615*(0.3)</f>
        <v>-1.7710703651538462</v>
      </c>
      <c r="E965">
        <f>-5.90356788384615*(0.3)</f>
        <v>-1.7710703651538462</v>
      </c>
      <c r="F965">
        <f>-5.90356788384615*(0.3)</f>
        <v>-1.7710703651538462</v>
      </c>
      <c r="G965">
        <f>-3.54214073030769*(0.3)</f>
        <v>-1.0626422190923077</v>
      </c>
      <c r="H965">
        <f>-5.90356788384615*(0.3)</f>
        <v>-1.7710703651538462</v>
      </c>
      <c r="I965">
        <f>-5.90356788384615*(0.3)</f>
        <v>-1.7710703651538462</v>
      </c>
      <c r="J965">
        <f>1.18071357676923*(0.3)</f>
        <v>0.35421407303076913</v>
      </c>
      <c r="K965">
        <f>-5.90356788384615*(0.3)</f>
        <v>-1.7710703651538462</v>
      </c>
      <c r="L965">
        <f>-2.89274826308462*(0.3)</f>
        <v>-0.86782447892538461</v>
      </c>
      <c r="M965">
        <f>-6.49392467223077*(0.3)</f>
        <v>-1.948177401669231</v>
      </c>
      <c r="N965">
        <f>-5.90356788384615*(0.3)</f>
        <v>-1.7710703651538462</v>
      </c>
    </row>
    <row r="966" spans="1:14" x14ac:dyDescent="0.25">
      <c r="A966">
        <f>1300.187319*(0.3)</f>
        <v>390.05619569999993</v>
      </c>
      <c r="B966">
        <f>-100.014409153846*(0.3)</f>
        <v>-30.004322746153843</v>
      </c>
      <c r="C966">
        <f>-300.043227461538*(0.3)</f>
        <v>-90.012968238461525</v>
      </c>
      <c r="D966">
        <f>-100.014409153846*(0.3)</f>
        <v>-30.004322746153843</v>
      </c>
      <c r="E966">
        <f>-100.014409153846*(0.3)</f>
        <v>-30.004322746153843</v>
      </c>
      <c r="F966">
        <f>-100.014409153846*(0.3)</f>
        <v>-30.004322746153843</v>
      </c>
      <c r="G966">
        <f>-60.0086454923077*(0.3)</f>
        <v>-18.002593647692304</v>
      </c>
      <c r="H966">
        <f>-100.014409153846*(0.3)</f>
        <v>-30.004322746153843</v>
      </c>
      <c r="I966">
        <f>-100.014409153846*(0.3)</f>
        <v>-30.004322746153843</v>
      </c>
      <c r="J966">
        <f>20.0028818307692*(0.3)</f>
        <v>6.0008645492307675</v>
      </c>
      <c r="K966">
        <f>-100.014409153846*(0.3)</f>
        <v>-30.004322746153843</v>
      </c>
      <c r="L966">
        <f>-49.0070604853846*(0.3)</f>
        <v>-14.702118145615383</v>
      </c>
      <c r="M966">
        <f>-110.015850069231*(0.3)</f>
        <v>-33.004755020769231</v>
      </c>
      <c r="N966">
        <f>-100.014409153846*(0.3)</f>
        <v>-30.004322746153843</v>
      </c>
    </row>
    <row r="967" spans="1:14" x14ac:dyDescent="0.25">
      <c r="A967">
        <f>90.56768858*(0.3)</f>
        <v>27.170306573999998</v>
      </c>
      <c r="B967">
        <f>-6.96674527538462*(0.3)</f>
        <v>-2.0900235826153843</v>
      </c>
      <c r="C967">
        <f>-20.9002358261538*(0.3)</f>
        <v>-6.2700707478461535</v>
      </c>
      <c r="D967">
        <f>-6.96674527538462*(0.3)</f>
        <v>-2.0900235826153843</v>
      </c>
      <c r="E967">
        <f>-6.96674527538462*(0.3)</f>
        <v>-2.0900235826153843</v>
      </c>
      <c r="F967">
        <f>-6.96674527538462*(0.3)</f>
        <v>-2.0900235826153843</v>
      </c>
      <c r="G967">
        <f>-4.18004716523077*(0.3)</f>
        <v>-1.2540141495692305</v>
      </c>
      <c r="H967">
        <f>-6.96674527538462*(0.3)</f>
        <v>-2.0900235826153843</v>
      </c>
      <c r="I967">
        <f>-6.96674527538462*(0.3)</f>
        <v>-2.0900235826153843</v>
      </c>
      <c r="J967">
        <f>1.39334905507692*(0.3)</f>
        <v>0.4180047165230768</v>
      </c>
      <c r="K967">
        <f>-6.96674527538462*(0.3)</f>
        <v>-2.0900235826153843</v>
      </c>
      <c r="L967">
        <f>-3.41370518493846*(0.3)</f>
        <v>-1.0241115554815383</v>
      </c>
      <c r="M967">
        <f>-7.66341980292308*(0.3)</f>
        <v>-2.2990259408769234</v>
      </c>
      <c r="N967">
        <f>-6.96674527538462*(0.3)</f>
        <v>-2.0900235826153843</v>
      </c>
    </row>
    <row r="968" spans="1:14" x14ac:dyDescent="0.25">
      <c r="A968">
        <f>1575.030705*(0.3)</f>
        <v>472.50921149999994</v>
      </c>
      <c r="B968">
        <f>-121.156208076923*(0.3)</f>
        <v>-36.346862423076921</v>
      </c>
      <c r="C968">
        <f>-363.468624230769*(0.3)</f>
        <v>-109.04058726923076</v>
      </c>
      <c r="D968">
        <f>-121.156208076923*(0.3)</f>
        <v>-36.346862423076921</v>
      </c>
      <c r="E968">
        <f>-121.156208076923*(0.3)</f>
        <v>-36.346862423076921</v>
      </c>
      <c r="F968">
        <f>-121.156208076923*(0.3)</f>
        <v>-36.346862423076921</v>
      </c>
      <c r="G968">
        <f>-72.6937248461538*(0.3)</f>
        <v>-21.808117453846151</v>
      </c>
      <c r="H968">
        <f>-121.156208076923*(0.3)</f>
        <v>-36.346862423076921</v>
      </c>
      <c r="I968">
        <f>-121.156208076923*(0.3)</f>
        <v>-36.346862423076921</v>
      </c>
      <c r="J968">
        <f>24.2312416153846*(0.3)</f>
        <v>7.2693724846153822</v>
      </c>
      <c r="K968">
        <f>-121.156208076923*(0.3)</f>
        <v>-36.346862423076921</v>
      </c>
      <c r="L968">
        <f>-59.3665419576923*(0.3)</f>
        <v>-17.809962587307687</v>
      </c>
      <c r="M968">
        <f>-133.271828884615*(0.3)</f>
        <v>-39.981548665384615</v>
      </c>
      <c r="N968">
        <f>-121.156208076923*(0.3)</f>
        <v>-36.346862423076921</v>
      </c>
    </row>
    <row r="969" spans="1:14" x14ac:dyDescent="0.25">
      <c r="A969">
        <f>104.6735773*(0.3)</f>
        <v>31.402073189999999</v>
      </c>
      <c r="B969">
        <f>-8.05181363846154*(0.3)</f>
        <v>-2.4155440915384614</v>
      </c>
      <c r="C969">
        <f>-24.1554409153846*(0.3)</f>
        <v>-7.2466322746153846</v>
      </c>
      <c r="D969">
        <f>-8.05181363846154*(0.3)</f>
        <v>-2.4155440915384614</v>
      </c>
      <c r="E969">
        <f>-8.05181363846154*(0.3)</f>
        <v>-2.4155440915384614</v>
      </c>
      <c r="F969">
        <f>-8.05181363846154*(0.3)</f>
        <v>-2.4155440915384614</v>
      </c>
      <c r="G969">
        <f>-4.83108818307692*(0.3)</f>
        <v>-1.4493264549230769</v>
      </c>
      <c r="H969">
        <f>-8.05181363846154*(0.3)</f>
        <v>-2.4155440915384614</v>
      </c>
      <c r="I969">
        <f>-8.05181363846154*(0.3)</f>
        <v>-2.4155440915384614</v>
      </c>
      <c r="J969">
        <f>1.61036272769231*(0.3)</f>
        <v>0.4831088183076922</v>
      </c>
      <c r="K969">
        <f>-8.05181363846154*(0.3)</f>
        <v>-2.4155440915384614</v>
      </c>
      <c r="L969">
        <f>-3.94538868284615*(0.3)</f>
        <v>-1.1836166048538461</v>
      </c>
      <c r="M969">
        <f>-8.85699500230769*(0.3)</f>
        <v>-2.657098500692308</v>
      </c>
      <c r="N969">
        <f>-8.05181363846154*(0.3)</f>
        <v>-2.4155440915384614</v>
      </c>
    </row>
    <row r="970" spans="1:14" x14ac:dyDescent="0.25">
      <c r="A970">
        <f>1855.252699*(0.3)</f>
        <v>556.57580969999992</v>
      </c>
      <c r="B970">
        <f>-142.711746076923*(0.3)</f>
        <v>-42.81352382307692</v>
      </c>
      <c r="C970">
        <f>-428.135238230769*(0.3)</f>
        <v>-128.44057146923078</v>
      </c>
      <c r="D970">
        <f>-142.711746076923*(0.3)</f>
        <v>-42.81352382307692</v>
      </c>
      <c r="E970">
        <f>-142.711746076923*(0.3)</f>
        <v>-42.81352382307692</v>
      </c>
      <c r="F970">
        <f>-142.711746076923*(0.3)</f>
        <v>-42.81352382307692</v>
      </c>
      <c r="G970">
        <f>-85.6270476461538*(0.3)</f>
        <v>-25.688114293846152</v>
      </c>
      <c r="H970">
        <f>-142.711746076923*(0.3)</f>
        <v>-42.81352382307692</v>
      </c>
      <c r="I970">
        <f>-142.711746076923*(0.3)</f>
        <v>-42.81352382307692</v>
      </c>
      <c r="J970">
        <f>28.5423492153846*(0.3)</f>
        <v>8.5627047646153827</v>
      </c>
      <c r="K970">
        <f>-142.711746076923*(0.3)</f>
        <v>-42.81352382307692</v>
      </c>
      <c r="L970">
        <f>-69.9287555776923*(0.3)</f>
        <v>-20.978626673307691</v>
      </c>
      <c r="M970">
        <f>-156.982920684615*(0.3)</f>
        <v>-47.094876205384622</v>
      </c>
      <c r="N970">
        <f>-142.711746076923*(0.3)</f>
        <v>-42.81352382307692</v>
      </c>
    </row>
    <row r="971" spans="1:14" x14ac:dyDescent="0.25">
      <c r="A971">
        <f>115.694676*(0.3)</f>
        <v>34.708402800000002</v>
      </c>
      <c r="B971">
        <f>-8.89959046153846*(0.3)</f>
        <v>-2.6698771384615387</v>
      </c>
      <c r="C971">
        <f>-26.6987713846154*(0.3)</f>
        <v>-8.0096314153846162</v>
      </c>
      <c r="D971">
        <f>-8.89959046153846*(0.3)</f>
        <v>-2.6698771384615387</v>
      </c>
      <c r="E971">
        <f>-8.89959046153846*(0.3)</f>
        <v>-2.6698771384615387</v>
      </c>
      <c r="F971">
        <f>-8.89959046153846*(0.3)</f>
        <v>-2.6698771384615387</v>
      </c>
      <c r="G971">
        <f>-5.33975427692308*(0.3)</f>
        <v>-1.6019262830769232</v>
      </c>
      <c r="H971">
        <f>-8.89959046153846*(0.3)</f>
        <v>-2.6698771384615387</v>
      </c>
      <c r="I971">
        <f>-8.89959046153846*(0.3)</f>
        <v>-2.6698771384615387</v>
      </c>
      <c r="J971">
        <f>1.77991809230769*(0.3)</f>
        <v>0.53397542769230755</v>
      </c>
      <c r="K971">
        <f>-8.89959046153846*(0.3)</f>
        <v>-2.6698771384615387</v>
      </c>
      <c r="L971">
        <f>-4.36079932615385*(0.3)</f>
        <v>-1.3082397978461537</v>
      </c>
      <c r="M971">
        <f>-9.78954950769231*(0.3)</f>
        <v>-2.9368648523076923</v>
      </c>
      <c r="N971">
        <f>-8.89959046153846*(0.3)</f>
        <v>-2.6698771384615387</v>
      </c>
    </row>
    <row r="972" spans="1:14" x14ac:dyDescent="0.25">
      <c r="A972">
        <f>2138.816515*(0.3)</f>
        <v>641.64495449999993</v>
      </c>
      <c r="B972">
        <f>-164.524347307692*(0.3)</f>
        <v>-49.357304192307687</v>
      </c>
      <c r="C972">
        <f>-493.573041923077*(0.3)</f>
        <v>-148.07191257692304</v>
      </c>
      <c r="D972">
        <f>-164.524347307692*(0.3)</f>
        <v>-49.357304192307687</v>
      </c>
      <c r="E972">
        <f>-164.524347307692*(0.3)</f>
        <v>-49.357304192307687</v>
      </c>
      <c r="F972">
        <f>-164.524347307692*(0.3)</f>
        <v>-49.357304192307687</v>
      </c>
      <c r="G972">
        <f>-98.7146083846154*(0.3)</f>
        <v>-29.614382515384612</v>
      </c>
      <c r="H972">
        <f>-164.524347307692*(0.3)</f>
        <v>-49.357304192307687</v>
      </c>
      <c r="I972">
        <f>-164.524347307692*(0.3)</f>
        <v>-49.357304192307687</v>
      </c>
      <c r="J972">
        <f>32.9048694615385*(0.3)</f>
        <v>9.8714608384615357</v>
      </c>
      <c r="K972">
        <f>-164.524347307692*(0.3)</f>
        <v>-49.357304192307687</v>
      </c>
      <c r="L972">
        <f>-80.6169301807692*(0.3)</f>
        <v>-24.185079054230766</v>
      </c>
      <c r="M972">
        <f>-180.976782038462*(0.3)</f>
        <v>-54.293034611538467</v>
      </c>
      <c r="N972">
        <f>-164.524347307692*(0.3)</f>
        <v>-49.357304192307687</v>
      </c>
    </row>
    <row r="973" spans="1:14" x14ac:dyDescent="0.25">
      <c r="A973">
        <f>125.8454471*(0.3)</f>
        <v>37.753634130000002</v>
      </c>
      <c r="B973">
        <f>-9.68041900769231*(0.3)</f>
        <v>-2.9041257023076921</v>
      </c>
      <c r="C973">
        <f>-29.0412570230769*(0.3)</f>
        <v>-8.7123771069230767</v>
      </c>
      <c r="D973">
        <f>-9.68041900769231*(0.3)</f>
        <v>-2.9041257023076921</v>
      </c>
      <c r="E973">
        <f>-9.68041900769231*(0.3)</f>
        <v>-2.9041257023076921</v>
      </c>
      <c r="F973">
        <f>-9.68041900769231*(0.3)</f>
        <v>-2.9041257023076921</v>
      </c>
      <c r="G973">
        <f>-5.80825140461538*(0.3)</f>
        <v>-1.7424754213846152</v>
      </c>
      <c r="H973">
        <f>-9.68041900769231*(0.3)</f>
        <v>-2.9041257023076921</v>
      </c>
      <c r="I973">
        <f>-9.68041900769231*(0.3)</f>
        <v>-2.9041257023076921</v>
      </c>
      <c r="J973">
        <f>1.93608380153846*(0.3)</f>
        <v>0.58082514046153833</v>
      </c>
      <c r="K973">
        <f>-9.68041900769231*(0.3)</f>
        <v>-2.9041257023076921</v>
      </c>
      <c r="L973">
        <f>-4.74340531376923*(0.3)</f>
        <v>-1.4230215941307693</v>
      </c>
      <c r="M973">
        <f>-10.6484609084615*(0.3)</f>
        <v>-3.1945382725384617</v>
      </c>
      <c r="N973">
        <f>-9.68041900769231*(0.3)</f>
        <v>-2.9041257023076921</v>
      </c>
    </row>
    <row r="974" spans="1:14" x14ac:dyDescent="0.25">
      <c r="A974">
        <f>2423.489142*(0.3)</f>
        <v>727.0467425999999</v>
      </c>
      <c r="B974">
        <f>-186.422241692308*(0.3)</f>
        <v>-55.926672507692309</v>
      </c>
      <c r="C974">
        <f>-559.266725076923*(0.3)</f>
        <v>-167.78001752307691</v>
      </c>
      <c r="D974">
        <f>-186.422241692308*(0.3)</f>
        <v>-55.926672507692309</v>
      </c>
      <c r="E974">
        <f>-186.422241692308*(0.3)</f>
        <v>-55.926672507692309</v>
      </c>
      <c r="F974">
        <f>-186.422241692308*(0.3)</f>
        <v>-55.926672507692309</v>
      </c>
      <c r="G974">
        <f>-111.853345015385*(0.3)</f>
        <v>-33.556003504615383</v>
      </c>
      <c r="H974">
        <f>-186.422241692308*(0.3)</f>
        <v>-55.926672507692309</v>
      </c>
      <c r="I974">
        <f>-186.422241692308*(0.3)</f>
        <v>-55.926672507692309</v>
      </c>
      <c r="J974">
        <f>37.2844483384615*(0.3)</f>
        <v>11.185334501538458</v>
      </c>
      <c r="K974">
        <f>-186.422241692308*(0.3)</f>
        <v>-55.926672507692309</v>
      </c>
      <c r="L974">
        <f>-91.3468984292308*(0.3)</f>
        <v>-27.404069528769227</v>
      </c>
      <c r="M974">
        <f>-205.064465861538*(0.3)</f>
        <v>-61.519339758461541</v>
      </c>
      <c r="N974">
        <f>-186.422241692308*(0.3)</f>
        <v>-55.926672507692309</v>
      </c>
    </row>
    <row r="975" spans="1:14" x14ac:dyDescent="0.25">
      <c r="A975">
        <f>132.8592908*(0.3)</f>
        <v>39.85778724</v>
      </c>
      <c r="B975">
        <f>-10.2199454461538*(0.3)</f>
        <v>-3.0659836338461535</v>
      </c>
      <c r="C975">
        <f>-30.6598363384615*(0.3)</f>
        <v>-9.1979509015384604</v>
      </c>
      <c r="D975">
        <f>-10.2199454461538*(0.3)</f>
        <v>-3.0659836338461535</v>
      </c>
      <c r="E975">
        <f>-10.2199454461538*(0.3)</f>
        <v>-3.0659836338461535</v>
      </c>
      <c r="F975">
        <f>-10.2199454461538*(0.3)</f>
        <v>-3.0659836338461535</v>
      </c>
      <c r="G975">
        <f>-6.13196726769231*(0.3)</f>
        <v>-1.8395901803076919</v>
      </c>
      <c r="H975">
        <f>-10.2199454461538*(0.3)</f>
        <v>-3.0659836338461535</v>
      </c>
      <c r="I975">
        <f>-10.2199454461538*(0.3)</f>
        <v>-3.0659836338461535</v>
      </c>
      <c r="J975">
        <f>2.04398908923077*(0.3)</f>
        <v>0.61319672676923065</v>
      </c>
      <c r="K975">
        <f>-10.2199454461538*(0.3)</f>
        <v>-3.0659836338461535</v>
      </c>
      <c r="L975">
        <f>-5.00777326861538*(0.3)</f>
        <v>-1.5023319805846154</v>
      </c>
      <c r="M975">
        <f>-11.2419399907692*(0.3)</f>
        <v>-3.3725819972307689</v>
      </c>
      <c r="N975">
        <f>-10.2199454461538*(0.3)</f>
        <v>-3.0659836338461535</v>
      </c>
    </row>
    <row r="976" spans="1:14" x14ac:dyDescent="0.25">
      <c r="A976">
        <f>2718.971201*(0.3)</f>
        <v>815.69136029999993</v>
      </c>
      <c r="B976">
        <f>-209.151630846154*(0.3)</f>
        <v>-62.745489253846145</v>
      </c>
      <c r="C976">
        <f>-627.454892538462*(0.3)</f>
        <v>-188.23646776153845</v>
      </c>
      <c r="D976">
        <f>-209.151630846154*(0.3)</f>
        <v>-62.745489253846145</v>
      </c>
      <c r="E976">
        <f>-209.151630846154*(0.3)</f>
        <v>-62.745489253846145</v>
      </c>
      <c r="F976">
        <f>-209.151630846154*(0.3)</f>
        <v>-62.745489253846145</v>
      </c>
      <c r="G976">
        <f>-125.490978507692*(0.3)</f>
        <v>-37.647293552307687</v>
      </c>
      <c r="H976">
        <f>-209.151630846154*(0.3)</f>
        <v>-62.745489253846145</v>
      </c>
      <c r="I976">
        <f>-209.151630846154*(0.3)</f>
        <v>-62.745489253846145</v>
      </c>
      <c r="J976">
        <f>41.8303261692308*(0.3)</f>
        <v>12.549097850769227</v>
      </c>
      <c r="K976">
        <f>-209.151630846154*(0.3)</f>
        <v>-62.745489253846145</v>
      </c>
      <c r="L976">
        <f>-102.484299114615*(0.3)</f>
        <v>-30.745289734384613</v>
      </c>
      <c r="M976">
        <f>-230.066793930769*(0.3)</f>
        <v>-69.020038179230767</v>
      </c>
      <c r="N976">
        <f>-209.151630846154*(0.3)</f>
        <v>-62.745489253846145</v>
      </c>
    </row>
    <row r="977" spans="1:14" x14ac:dyDescent="0.25">
      <c r="A977">
        <f>-56.21085193*(0.3)</f>
        <v>-16.863255578999997</v>
      </c>
      <c r="B977">
        <f>4.32391168692308*(0.3)</f>
        <v>1.2971735060769229</v>
      </c>
      <c r="C977">
        <f>12.9717350607692*(0.3)</f>
        <v>3.8915205182307688</v>
      </c>
      <c r="D977">
        <f>4.32391168692308*(0.3)</f>
        <v>1.2971735060769229</v>
      </c>
      <c r="E977">
        <f>4.32391168692308*(0.3)</f>
        <v>1.2971735060769229</v>
      </c>
      <c r="F977">
        <f>4.32391168692308*(0.3)</f>
        <v>1.2971735060769229</v>
      </c>
      <c r="G977">
        <f>2.59434701215385*(0.3)</f>
        <v>0.77830410364615377</v>
      </c>
      <c r="H977">
        <f>4.32391168692308*(0.3)</f>
        <v>1.2971735060769229</v>
      </c>
      <c r="I977">
        <f>4.32391168692308*(0.3)</f>
        <v>1.2971735060769229</v>
      </c>
      <c r="J977">
        <f>-0.864782337384615*(0.3)</f>
        <v>-0.25943470121538453</v>
      </c>
      <c r="K977">
        <f>4.32391168692308*(0.3)</f>
        <v>1.2971735060769229</v>
      </c>
      <c r="L977">
        <f>2.11871672659231*(0.3)</f>
        <v>0.63561501797769215</v>
      </c>
      <c r="M977">
        <f>4.75630285561538*(0.3)</f>
        <v>1.4268908566846152</v>
      </c>
      <c r="N977">
        <f>4.32391168692308*(0.3)</f>
        <v>1.2971735060769229</v>
      </c>
    </row>
    <row r="978" spans="1:14" x14ac:dyDescent="0.25">
      <c r="A978">
        <f>-57.17789464*(0.3)</f>
        <v>-17.153368391999997</v>
      </c>
      <c r="B978">
        <f>4.39829958769231*(0.3)</f>
        <v>1.3194898763076923</v>
      </c>
      <c r="C978">
        <f>13.1948987630769*(0.3)</f>
        <v>3.9584696289230772</v>
      </c>
      <c r="D978">
        <f>4.39829958769231*(0.3)</f>
        <v>1.3194898763076923</v>
      </c>
      <c r="E978">
        <f>4.39829958769231*(0.3)</f>
        <v>1.3194898763076923</v>
      </c>
      <c r="F978">
        <f>4.39829958769231*(0.3)</f>
        <v>1.3194898763076923</v>
      </c>
      <c r="G978">
        <f>2.63897975261538*(0.3)</f>
        <v>0.79169392578461539</v>
      </c>
      <c r="H978">
        <f>4.39829958769231*(0.3)</f>
        <v>1.3194898763076923</v>
      </c>
      <c r="I978">
        <f>4.39829958769231*(0.3)</f>
        <v>1.3194898763076923</v>
      </c>
      <c r="J978">
        <f>-0.879659917538461*(0.3)</f>
        <v>-0.26389797526153841</v>
      </c>
      <c r="K978">
        <f>4.39829958769231*(0.3)</f>
        <v>1.3194898763076923</v>
      </c>
      <c r="L978">
        <f>2.15516679796923*(0.3)</f>
        <v>0.64655003939076916</v>
      </c>
      <c r="M978">
        <f>4.83812954646154*(0.3)</f>
        <v>1.4514388639384619</v>
      </c>
      <c r="N978">
        <f>4.39829958769231*(0.3)</f>
        <v>1.3194898763076923</v>
      </c>
    </row>
    <row r="979" spans="1:14" x14ac:dyDescent="0.25">
      <c r="A979">
        <f>-94.89215162*(0.3)</f>
        <v>-28.467645486000002</v>
      </c>
      <c r="B979">
        <f>7.29939627846154*(0.3)</f>
        <v>2.1898188835384618</v>
      </c>
      <c r="C979">
        <f>21.8981888353846*(0.3)</f>
        <v>6.5694566506153844</v>
      </c>
      <c r="D979">
        <f>7.29939627846154*(0.3)</f>
        <v>2.1898188835384618</v>
      </c>
      <c r="E979">
        <f>7.29939627846154*(0.3)</f>
        <v>2.1898188835384618</v>
      </c>
      <c r="F979">
        <f>7.29939627846154*(0.3)</f>
        <v>2.1898188835384618</v>
      </c>
      <c r="G979">
        <f>4.37963776707692*(0.3)</f>
        <v>1.313891330123077</v>
      </c>
      <c r="H979">
        <f>7.29939627846154*(0.3)</f>
        <v>2.1898188835384618</v>
      </c>
      <c r="I979">
        <f>7.29939627846154*(0.3)</f>
        <v>2.1898188835384618</v>
      </c>
      <c r="J979">
        <f>-1.45987925569231*(0.3)</f>
        <v>-0.43796377670769221</v>
      </c>
      <c r="K979">
        <f>7.29939627846154*(0.3)</f>
        <v>2.1898188835384618</v>
      </c>
      <c r="L979">
        <f>3.57670417644615*(0.3)</f>
        <v>1.0730112529338462</v>
      </c>
      <c r="M979">
        <f>8.02933590630769*(0.3)</f>
        <v>2.4088007718923081</v>
      </c>
      <c r="N979">
        <f>7.29939627846154*(0.3)</f>
        <v>2.1898188835384618</v>
      </c>
    </row>
    <row r="980" spans="1:14" x14ac:dyDescent="0.25">
      <c r="A980">
        <f>-77.39691293*(0.3)</f>
        <v>-23.219073879</v>
      </c>
      <c r="B980">
        <f>5.95360868692308*(0.3)</f>
        <v>1.786082606076923</v>
      </c>
      <c r="C980">
        <f>17.8608260607692*(0.3)</f>
        <v>5.3582478182307689</v>
      </c>
      <c r="D980">
        <f>5.95360868692308*(0.3)</f>
        <v>1.786082606076923</v>
      </c>
      <c r="E980">
        <f>5.95360868692308*(0.3)</f>
        <v>1.786082606076923</v>
      </c>
      <c r="F980">
        <f>5.95360868692308*(0.3)</f>
        <v>1.786082606076923</v>
      </c>
      <c r="G980">
        <f>3.57216521215385*(0.3)</f>
        <v>1.0716495636461538</v>
      </c>
      <c r="H980">
        <f>5.95360868692308*(0.3)</f>
        <v>1.786082606076923</v>
      </c>
      <c r="I980">
        <f>5.95360868692308*(0.3)</f>
        <v>1.786082606076923</v>
      </c>
      <c r="J980">
        <f>-1.19072173738462*(0.3)</f>
        <v>-0.3572165212153845</v>
      </c>
      <c r="K980">
        <f>5.95360868692308*(0.3)</f>
        <v>1.786082606076923</v>
      </c>
      <c r="L980">
        <f>2.91726825659231*(0.3)</f>
        <v>0.87518047697769219</v>
      </c>
      <c r="M980">
        <f>6.54896955561538*(0.3)</f>
        <v>1.9646908666846152</v>
      </c>
      <c r="N980">
        <f>5.95360868692308*(0.3)</f>
        <v>1.786082606076923</v>
      </c>
    </row>
    <row r="981" spans="1:14" x14ac:dyDescent="0.25">
      <c r="A981">
        <f>-139.5896208*(0.3)</f>
        <v>-41.876886239999997</v>
      </c>
      <c r="B981">
        <f>10.7376631384615*(0.3)</f>
        <v>3.2212989415384614</v>
      </c>
      <c r="C981">
        <f>32.2129894153846*(0.3)</f>
        <v>9.6638968246153834</v>
      </c>
      <c r="D981">
        <f>10.7376631384615*(0.3)</f>
        <v>3.2212989415384614</v>
      </c>
      <c r="E981">
        <f>10.7376631384615*(0.3)</f>
        <v>3.2212989415384614</v>
      </c>
      <c r="F981">
        <f>10.7376631384615*(0.3)</f>
        <v>3.2212989415384614</v>
      </c>
      <c r="G981">
        <f>6.44259788307692*(0.3)</f>
        <v>1.9327793649230767</v>
      </c>
      <c r="H981">
        <f>10.7376631384615*(0.3)</f>
        <v>3.2212989415384614</v>
      </c>
      <c r="I981">
        <f>10.7376631384615*(0.3)</f>
        <v>3.2212989415384614</v>
      </c>
      <c r="J981">
        <f>-2.14753262769231*(0.3)</f>
        <v>-0.64425978830769226</v>
      </c>
      <c r="K981">
        <f>10.7376631384615*(0.3)</f>
        <v>3.2212989415384614</v>
      </c>
      <c r="L981">
        <f>5.26145493784615*(0.3)</f>
        <v>1.5784364813538463</v>
      </c>
      <c r="M981">
        <f>11.8114294523077*(0.3)</f>
        <v>3.5434288356923083</v>
      </c>
      <c r="N981">
        <f>10.7376631384615*(0.3)</f>
        <v>3.2212989415384614</v>
      </c>
    </row>
    <row r="982" spans="1:14" x14ac:dyDescent="0.25">
      <c r="A982">
        <f>-97.38333291*(0.3)</f>
        <v>-29.214999872999996</v>
      </c>
      <c r="B982">
        <f>7.49102560846154*(0.3)</f>
        <v>2.247307682538461</v>
      </c>
      <c r="C982">
        <f>22.4730768253846*(0.3)</f>
        <v>6.7419230476153835</v>
      </c>
      <c r="D982">
        <f>7.49102560846154*(0.3)</f>
        <v>2.247307682538461</v>
      </c>
      <c r="E982">
        <f>7.49102560846154*(0.3)</f>
        <v>2.247307682538461</v>
      </c>
      <c r="F982">
        <f>7.49102560846154*(0.3)</f>
        <v>2.247307682538461</v>
      </c>
      <c r="G982">
        <f>4.49461536507692*(0.3)</f>
        <v>1.3483846095230765</v>
      </c>
      <c r="H982">
        <f>7.49102560846154*(0.3)</f>
        <v>2.247307682538461</v>
      </c>
      <c r="I982">
        <f>7.49102560846154*(0.3)</f>
        <v>2.247307682538461</v>
      </c>
      <c r="J982">
        <f>-1.49820512169231*(0.3)</f>
        <v>-0.44946153650769211</v>
      </c>
      <c r="K982">
        <f>7.49102560846154*(0.3)</f>
        <v>2.247307682538461</v>
      </c>
      <c r="L982">
        <f>3.67060254814615*(0.3)</f>
        <v>1.101180764443846</v>
      </c>
      <c r="M982">
        <f>8.24012816930769*(0.3)</f>
        <v>2.4720384507923074</v>
      </c>
      <c r="N982">
        <f>7.49102560846154*(0.3)</f>
        <v>2.247307682538461</v>
      </c>
    </row>
    <row r="983" spans="1:14" x14ac:dyDescent="0.25">
      <c r="A983">
        <f>-201.4813708*(0.3)</f>
        <v>-60.444411240000001</v>
      </c>
      <c r="B983">
        <f>15.4985669846154*(0.3)</f>
        <v>4.6495700953846155</v>
      </c>
      <c r="C983">
        <f>46.4957009538462*(0.3)</f>
        <v>13.948710286153846</v>
      </c>
      <c r="D983">
        <f>15.4985669846154*(0.3)</f>
        <v>4.6495700953846155</v>
      </c>
      <c r="E983">
        <f>15.4985669846154*(0.3)</f>
        <v>4.6495700953846155</v>
      </c>
      <c r="F983">
        <f>15.4985669846154*(0.3)</f>
        <v>4.6495700953846155</v>
      </c>
      <c r="G983">
        <f>9.29914019076923*(0.3)</f>
        <v>2.7897420572307694</v>
      </c>
      <c r="H983">
        <f>15.4985669846154*(0.3)</f>
        <v>4.6495700953846155</v>
      </c>
      <c r="I983">
        <f>15.4985669846154*(0.3)</f>
        <v>4.6495700953846155</v>
      </c>
      <c r="J983">
        <f>-3.09971339692308*(0.3)</f>
        <v>-0.92991401907692284</v>
      </c>
      <c r="K983">
        <f>15.4985669846154*(0.3)</f>
        <v>4.6495700953846155</v>
      </c>
      <c r="L983">
        <f>7.59429782246154*(0.3)</f>
        <v>2.2782893467384615</v>
      </c>
      <c r="M983">
        <f>17.0484236830769*(0.3)</f>
        <v>5.114527104923078</v>
      </c>
      <c r="N983">
        <f>15.4985669846154*(0.3)</f>
        <v>4.6495700953846155</v>
      </c>
    </row>
    <row r="984" spans="1:14" x14ac:dyDescent="0.25">
      <c r="A984">
        <f>-114.8907758*(0.3)</f>
        <v>-34.46723274</v>
      </c>
      <c r="B984">
        <f>8.83775198461538*(0.3)</f>
        <v>2.6513255953846149</v>
      </c>
      <c r="C984">
        <f>26.5132559538462*(0.3)</f>
        <v>7.9539767861538451</v>
      </c>
      <c r="D984">
        <f>8.83775198461538*(0.3)</f>
        <v>2.6513255953846149</v>
      </c>
      <c r="E984">
        <f>8.83775198461538*(0.3)</f>
        <v>2.6513255953846149</v>
      </c>
      <c r="F984">
        <f>8.83775198461538*(0.3)</f>
        <v>2.6513255953846149</v>
      </c>
      <c r="G984">
        <f>5.30265119076923*(0.3)</f>
        <v>1.5907953572307689</v>
      </c>
      <c r="H984">
        <f>8.83775198461538*(0.3)</f>
        <v>2.6513255953846149</v>
      </c>
      <c r="I984">
        <f>8.83775198461538*(0.3)</f>
        <v>2.6513255953846149</v>
      </c>
      <c r="J984">
        <f>-1.76755039692308*(0.3)</f>
        <v>-0.53026511907692286</v>
      </c>
      <c r="K984">
        <f>8.83775198461538*(0.3)</f>
        <v>2.6513255953846149</v>
      </c>
      <c r="L984">
        <f>4.33049847246154*(0.3)</f>
        <v>1.2991495417384613</v>
      </c>
      <c r="M984">
        <f>9.72152718307692*(0.3)</f>
        <v>2.9164581549230766</v>
      </c>
      <c r="N984">
        <f>8.83775198461538*(0.3)</f>
        <v>2.6513255953846149</v>
      </c>
    </row>
    <row r="985" spans="1:14" x14ac:dyDescent="0.25">
      <c r="A985">
        <f>-275.4322999*(0.3)</f>
        <v>-82.629689969999987</v>
      </c>
      <c r="B985">
        <f>21.1870999923077*(0.3)</f>
        <v>6.3561299976923067</v>
      </c>
      <c r="C985">
        <f>63.5612999769231*(0.3)</f>
        <v>19.06838999307692</v>
      </c>
      <c r="D985">
        <f>21.1870999923077*(0.3)</f>
        <v>6.3561299976923067</v>
      </c>
      <c r="E985">
        <f>21.1870999923077*(0.3)</f>
        <v>6.3561299976923067</v>
      </c>
      <c r="F985">
        <f>21.1870999923077*(0.3)</f>
        <v>6.3561299976923067</v>
      </c>
      <c r="G985">
        <f>12.7122599953846*(0.3)</f>
        <v>3.8136779986153839</v>
      </c>
      <c r="H985">
        <f>21.1870999923077*(0.3)</f>
        <v>6.3561299976923067</v>
      </c>
      <c r="I985">
        <f>21.1870999923077*(0.3)</f>
        <v>6.3561299976923067</v>
      </c>
      <c r="J985">
        <f>-4.23741999846154*(0.3)</f>
        <v>-1.2712259995384612</v>
      </c>
      <c r="K985">
        <f>21.1870999923077*(0.3)</f>
        <v>6.3561299976923067</v>
      </c>
      <c r="L985">
        <f>10.3816789962308*(0.3)</f>
        <v>3.1145036988692305</v>
      </c>
      <c r="M985">
        <f>23.3058099915385*(0.3)</f>
        <v>6.9917429974615377</v>
      </c>
      <c r="N985">
        <f>21.1870999923077*(0.3)</f>
        <v>6.3561299976923067</v>
      </c>
    </row>
    <row r="986" spans="1:14" x14ac:dyDescent="0.25">
      <c r="A986">
        <f>-135.255842*(0.3)</f>
        <v>-40.576752599999999</v>
      </c>
      <c r="B986">
        <f>10.4042955384615*(0.3)</f>
        <v>3.1212886615384612</v>
      </c>
      <c r="C986">
        <f>31.2128866153846*(0.3)</f>
        <v>9.3638659846153836</v>
      </c>
      <c r="D986">
        <f>10.4042955384615*(0.3)</f>
        <v>3.1212886615384612</v>
      </c>
      <c r="E986">
        <f>10.4042955384615*(0.3)</f>
        <v>3.1212886615384612</v>
      </c>
      <c r="F986">
        <f>10.4042955384615*(0.3)</f>
        <v>3.1212886615384612</v>
      </c>
      <c r="G986">
        <f>6.24257732307692*(0.3)</f>
        <v>1.8727731969230765</v>
      </c>
      <c r="H986">
        <f>10.4042955384615*(0.3)</f>
        <v>3.1212886615384612</v>
      </c>
      <c r="I986">
        <f>10.4042955384615*(0.3)</f>
        <v>3.1212886615384612</v>
      </c>
      <c r="J986">
        <f>-2.08085910769231*(0.3)</f>
        <v>-0.62425773230769221</v>
      </c>
      <c r="K986">
        <f>10.4042955384615*(0.3)</f>
        <v>3.1212886615384612</v>
      </c>
      <c r="L986">
        <f>5.09810481384615*(0.3)</f>
        <v>1.5294314441538459</v>
      </c>
      <c r="M986">
        <f>11.4447250923077*(0.3)</f>
        <v>3.4334175276923076</v>
      </c>
      <c r="N986">
        <f>10.4042955384615*(0.3)</f>
        <v>3.1212886615384612</v>
      </c>
    </row>
    <row r="987" spans="1:14" x14ac:dyDescent="0.25">
      <c r="A987">
        <f>-381.1884719*(0.3)</f>
        <v>-114.35654157</v>
      </c>
      <c r="B987">
        <f>29.3221901461538*(0.3)</f>
        <v>8.7966570438461531</v>
      </c>
      <c r="C987">
        <f>87.9665704384615*(0.3)</f>
        <v>26.389971131538463</v>
      </c>
      <c r="D987">
        <f>29.3221901461538*(0.3)</f>
        <v>8.7966570438461531</v>
      </c>
      <c r="E987">
        <f>29.3221901461538*(0.3)</f>
        <v>8.7966570438461531</v>
      </c>
      <c r="F987">
        <f>29.3221901461538*(0.3)</f>
        <v>8.7966570438461531</v>
      </c>
      <c r="G987">
        <f>17.5933140876923*(0.3)</f>
        <v>5.2779942263076913</v>
      </c>
      <c r="H987">
        <f>29.3221901461538*(0.3)</f>
        <v>8.7966570438461531</v>
      </c>
      <c r="I987">
        <f>29.3221901461538*(0.3)</f>
        <v>8.7966570438461531</v>
      </c>
      <c r="J987">
        <f>-5.86443802923077*(0.3)</f>
        <v>-1.7593314087692302</v>
      </c>
      <c r="K987">
        <f>29.3221901461538*(0.3)</f>
        <v>8.7966570438461531</v>
      </c>
      <c r="L987">
        <f>14.3678731716154*(0.3)</f>
        <v>4.310361951484615</v>
      </c>
      <c r="M987">
        <f>32.2544091607692*(0.3)</f>
        <v>9.6763227482307705</v>
      </c>
      <c r="N987">
        <f>29.3221901461538*(0.3)</f>
        <v>8.7966570438461531</v>
      </c>
    </row>
    <row r="988" spans="1:14" x14ac:dyDescent="0.25">
      <c r="A988">
        <f>-153.9313206*(0.3)</f>
        <v>-46.179396179999998</v>
      </c>
      <c r="B988">
        <f>11.8408708153846*(0.3)</f>
        <v>3.5522612446153845</v>
      </c>
      <c r="C988">
        <f>35.5226124461538*(0.3)</f>
        <v>10.656783733846153</v>
      </c>
      <c r="D988">
        <f>11.8408708153846*(0.3)</f>
        <v>3.5522612446153845</v>
      </c>
      <c r="E988">
        <f>11.8408708153846*(0.3)</f>
        <v>3.5522612446153845</v>
      </c>
      <c r="F988">
        <f>11.8408708153846*(0.3)</f>
        <v>3.5522612446153845</v>
      </c>
      <c r="G988">
        <f>7.10452248923077*(0.3)</f>
        <v>2.1313567467692307</v>
      </c>
      <c r="H988">
        <f>11.8408708153846*(0.3)</f>
        <v>3.5522612446153845</v>
      </c>
      <c r="I988">
        <f>11.8408708153846*(0.3)</f>
        <v>3.5522612446153845</v>
      </c>
      <c r="J988">
        <f>-2.36817416307692*(0.3)</f>
        <v>-0.71045224892307668</v>
      </c>
      <c r="K988">
        <f>11.8408708153846*(0.3)</f>
        <v>3.5522612446153845</v>
      </c>
      <c r="L988">
        <f>5.80202669953846*(0.3)</f>
        <v>1.7406080098615384</v>
      </c>
      <c r="M988">
        <f>13.0249578969231*(0.3)</f>
        <v>3.9074873690769234</v>
      </c>
      <c r="N988">
        <f>11.8408708153846*(0.3)</f>
        <v>3.5522612446153845</v>
      </c>
    </row>
    <row r="989" spans="1:14" x14ac:dyDescent="0.25">
      <c r="A989">
        <f>-519.9386979*(0.3)</f>
        <v>-155.98160936999997</v>
      </c>
      <c r="B989">
        <f>39.9952844538462*(0.3)</f>
        <v>11.998585336153846</v>
      </c>
      <c r="C989">
        <f>119.985853361538*(0.3)</f>
        <v>35.995756008461534</v>
      </c>
      <c r="D989">
        <f>39.9952844538462*(0.3)</f>
        <v>11.998585336153846</v>
      </c>
      <c r="E989">
        <f>39.9952844538462*(0.3)</f>
        <v>11.998585336153846</v>
      </c>
      <c r="F989">
        <f>39.9952844538462*(0.3)</f>
        <v>11.998585336153846</v>
      </c>
      <c r="G989">
        <f>23.9971706723077*(0.3)</f>
        <v>7.1991512016923078</v>
      </c>
      <c r="H989">
        <f>39.9952844538462*(0.3)</f>
        <v>11.998585336153846</v>
      </c>
      <c r="I989">
        <f>39.9952844538462*(0.3)</f>
        <v>11.998585336153846</v>
      </c>
      <c r="J989">
        <f>-7.99905689076923*(0.3)</f>
        <v>-2.3997170672307684</v>
      </c>
      <c r="K989">
        <f>39.9952844538462*(0.3)</f>
        <v>11.998585336153846</v>
      </c>
      <c r="L989">
        <f>19.5976893823846*(0.3)</f>
        <v>5.8793068147153846</v>
      </c>
      <c r="M989">
        <f>43.9948128992308*(0.3)</f>
        <v>13.198443869769232</v>
      </c>
      <c r="N989">
        <f>39.9952844538462*(0.3)</f>
        <v>11.998585336153846</v>
      </c>
    </row>
    <row r="990" spans="1:14" x14ac:dyDescent="0.25">
      <c r="A990">
        <f>-175.3762249*(0.3)</f>
        <v>-52.612867470000005</v>
      </c>
      <c r="B990">
        <f>13.4904788384615*(0.3)</f>
        <v>4.0471436515384616</v>
      </c>
      <c r="C990">
        <f>40.4714365153846*(0.3)</f>
        <v>12.141430954615386</v>
      </c>
      <c r="D990">
        <f>13.4904788384615*(0.3)</f>
        <v>4.0471436515384616</v>
      </c>
      <c r="E990">
        <f>13.4904788384615*(0.3)</f>
        <v>4.0471436515384616</v>
      </c>
      <c r="F990">
        <f>13.4904788384615*(0.3)</f>
        <v>4.0471436515384616</v>
      </c>
      <c r="G990">
        <f>8.09428730307692*(0.3)</f>
        <v>2.4282861909230768</v>
      </c>
      <c r="H990">
        <f>13.4904788384615*(0.3)</f>
        <v>4.0471436515384616</v>
      </c>
      <c r="I990">
        <f>13.4904788384615*(0.3)</f>
        <v>4.0471436515384616</v>
      </c>
      <c r="J990">
        <f>-2.69809576769231*(0.3)</f>
        <v>-0.80942873030769225</v>
      </c>
      <c r="K990">
        <f>13.4904788384615*(0.3)</f>
        <v>4.0471436515384616</v>
      </c>
      <c r="L990">
        <f>6.61033463084615*(0.3)</f>
        <v>1.9831003892538461</v>
      </c>
      <c r="M990">
        <f>14.8395267223077*(0.3)</f>
        <v>4.4518580166923085</v>
      </c>
      <c r="N990">
        <f>13.4904788384615*(0.3)</f>
        <v>4.0471436515384616</v>
      </c>
    </row>
    <row r="991" spans="1:14" x14ac:dyDescent="0.25">
      <c r="A991">
        <f>-734.5197446*(0.3)</f>
        <v>-220.35592337999998</v>
      </c>
      <c r="B991">
        <f>56.5015188153846*(0.3)</f>
        <v>16.950455644615385</v>
      </c>
      <c r="C991">
        <f>169.504556446154*(0.3)</f>
        <v>50.851366933846158</v>
      </c>
      <c r="D991">
        <f>56.5015188153846*(0.3)</f>
        <v>16.950455644615385</v>
      </c>
      <c r="E991">
        <f>56.5015188153846*(0.3)</f>
        <v>16.950455644615385</v>
      </c>
      <c r="F991">
        <f>56.5015188153846*(0.3)</f>
        <v>16.950455644615385</v>
      </c>
      <c r="G991">
        <f>33.9009112892308*(0.3)</f>
        <v>10.17027338676923</v>
      </c>
      <c r="H991">
        <f>56.5015188153846*(0.3)</f>
        <v>16.950455644615385</v>
      </c>
      <c r="I991">
        <f>56.5015188153846*(0.3)</f>
        <v>16.950455644615385</v>
      </c>
      <c r="J991">
        <f>-11.3003037630769*(0.3)</f>
        <v>-3.3900911289230762</v>
      </c>
      <c r="K991">
        <f>56.5015188153846*(0.3)</f>
        <v>16.950455644615385</v>
      </c>
      <c r="L991">
        <f>27.6857442195385*(0.3)</f>
        <v>8.3057232658615376</v>
      </c>
      <c r="M991">
        <f>62.1516706969231*(0.3)</f>
        <v>18.645501209076926</v>
      </c>
      <c r="N991">
        <f>56.5015188153846*(0.3)</f>
        <v>16.950455644615385</v>
      </c>
    </row>
    <row r="992" spans="1:14" x14ac:dyDescent="0.25">
      <c r="A992">
        <f>-193.13094*(0.3)</f>
        <v>-57.939281999999999</v>
      </c>
      <c r="B992">
        <f>14.8562261538462*(0.3)</f>
        <v>4.4568678461538465</v>
      </c>
      <c r="C992">
        <f>44.5686784615385*(0.3)</f>
        <v>13.370603538461539</v>
      </c>
      <c r="D992">
        <f>14.8562261538462*(0.3)</f>
        <v>4.4568678461538465</v>
      </c>
      <c r="E992">
        <f>14.8562261538462*(0.3)</f>
        <v>4.4568678461538465</v>
      </c>
      <c r="F992">
        <f>14.8562261538462*(0.3)</f>
        <v>4.4568678461538465</v>
      </c>
      <c r="G992">
        <f>8.91373569230769*(0.3)</f>
        <v>2.6741207076923077</v>
      </c>
      <c r="H992">
        <f>14.8562261538462*(0.3)</f>
        <v>4.4568678461538465</v>
      </c>
      <c r="I992">
        <f>14.8562261538462*(0.3)</f>
        <v>4.4568678461538465</v>
      </c>
      <c r="J992">
        <f>-2.97124523076923*(0.3)</f>
        <v>-0.89137356923076916</v>
      </c>
      <c r="K992">
        <f>14.8562261538462*(0.3)</f>
        <v>4.4568678461538465</v>
      </c>
      <c r="L992">
        <f>7.27955081538462*(0.3)</f>
        <v>2.1838652446153843</v>
      </c>
      <c r="M992">
        <f>16.3418487692308*(0.3)</f>
        <v>4.9025546307692318</v>
      </c>
      <c r="N992">
        <f>14.8562261538462*(0.3)</f>
        <v>4.4568678461538465</v>
      </c>
    </row>
    <row r="993" spans="1:14" x14ac:dyDescent="0.25">
      <c r="A993">
        <f>-28.13354667*(0.3)</f>
        <v>-8.4400640009999996</v>
      </c>
      <c r="B993">
        <f>2.16411897461538*(0.3)</f>
        <v>0.64923569238461531</v>
      </c>
      <c r="C993">
        <f>6.49235692384615*(0.3)</f>
        <v>1.9477070771538463</v>
      </c>
      <c r="D993">
        <f>2.16411897461538*(0.3)</f>
        <v>0.64923569238461531</v>
      </c>
      <c r="E993">
        <f>2.16411897461538*(0.3)</f>
        <v>0.64923569238461531</v>
      </c>
      <c r="F993">
        <f>2.16411897461538*(0.3)</f>
        <v>0.64923569238461531</v>
      </c>
      <c r="G993">
        <f>1.29847138476923*(0.3)</f>
        <v>0.3895414154307692</v>
      </c>
      <c r="H993">
        <f>2.16411897461538*(0.3)</f>
        <v>0.64923569238461531</v>
      </c>
      <c r="I993">
        <f>2.16411897461538*(0.3)</f>
        <v>0.64923569238461531</v>
      </c>
      <c r="J993">
        <f>-0.432823794923077*(0.3)</f>
        <v>-0.12984713847692303</v>
      </c>
      <c r="K993">
        <f>2.16411897461538*(0.3)</f>
        <v>0.64923569238461531</v>
      </c>
      <c r="L993">
        <f>1.06041829756154*(0.3)</f>
        <v>0.31812548926846151</v>
      </c>
      <c r="M993">
        <f>2.38053087207692*(0.3)</f>
        <v>0.71415926162307697</v>
      </c>
      <c r="N993">
        <f>2.16411897461538*(0.3)</f>
        <v>0.64923569238461531</v>
      </c>
    </row>
    <row r="994" spans="1:14" x14ac:dyDescent="0.25">
      <c r="A994">
        <f>-109.2726435*(0.3)</f>
        <v>-32.781793049999997</v>
      </c>
      <c r="B994">
        <f>8.40558796153846*(0.3)</f>
        <v>2.5216763884615383</v>
      </c>
      <c r="C994">
        <f>25.2167638846154*(0.3)</f>
        <v>7.5650291653846153</v>
      </c>
      <c r="D994">
        <f>8.40558796153846*(0.3)</f>
        <v>2.5216763884615383</v>
      </c>
      <c r="E994">
        <f>8.40558796153846*(0.3)</f>
        <v>2.5216763884615383</v>
      </c>
      <c r="F994">
        <f>8.40558796153846*(0.3)</f>
        <v>2.5216763884615383</v>
      </c>
      <c r="G994">
        <f>5.04335277692308*(0.3)</f>
        <v>1.5130058330769229</v>
      </c>
      <c r="H994">
        <f>8.40558796153846*(0.3)</f>
        <v>2.5216763884615383</v>
      </c>
      <c r="I994">
        <f>8.40558796153846*(0.3)</f>
        <v>2.5216763884615383</v>
      </c>
      <c r="J994">
        <f>-1.68111759230769*(0.3)</f>
        <v>-0.50433527769230757</v>
      </c>
      <c r="K994">
        <f>8.40558796153846*(0.3)</f>
        <v>2.5216763884615383</v>
      </c>
      <c r="L994">
        <f>4.11873810115385*(0.3)</f>
        <v>1.2356214303461539</v>
      </c>
      <c r="M994">
        <f>9.24614675769231*(0.3)</f>
        <v>2.7738440273076925</v>
      </c>
      <c r="N994">
        <f>8.40558796153846*(0.3)</f>
        <v>2.5216763884615383</v>
      </c>
    </row>
    <row r="995" spans="1:14" x14ac:dyDescent="0.25">
      <c r="A995">
        <f>-39.96242213*(0.3)</f>
        <v>-11.988726638999999</v>
      </c>
      <c r="B995">
        <f>3.07403247153846*(0.3)</f>
        <v>0.92220974146153845</v>
      </c>
      <c r="C995">
        <f>9.22209741461538*(0.3)</f>
        <v>2.7666292243846149</v>
      </c>
      <c r="D995">
        <f>3.07403247153846*(0.3)</f>
        <v>0.92220974146153845</v>
      </c>
      <c r="E995">
        <f>3.07403247153846*(0.3)</f>
        <v>0.92220974146153845</v>
      </c>
      <c r="F995">
        <f>3.07403247153846*(0.3)</f>
        <v>0.92220974146153845</v>
      </c>
      <c r="G995">
        <f>1.84441948292308*(0.3)</f>
        <v>0.55332584487692305</v>
      </c>
      <c r="H995">
        <f>3.07403247153846*(0.3)</f>
        <v>0.92220974146153845</v>
      </c>
      <c r="I995">
        <f>3.07403247153846*(0.3)</f>
        <v>0.92220974146153845</v>
      </c>
      <c r="J995">
        <f>-0.614806494307692*(0.3)</f>
        <v>-0.18444194829230764</v>
      </c>
      <c r="K995">
        <f>3.07403247153846*(0.3)</f>
        <v>0.92220974146153845</v>
      </c>
      <c r="L995">
        <f>1.50627591105385*(0.3)</f>
        <v>0.45188277331615384</v>
      </c>
      <c r="M995">
        <f>3.38143571869231*(0.3)</f>
        <v>1.0144307156076924</v>
      </c>
      <c r="N995">
        <f>3.07403247153846*(0.3)</f>
        <v>0.92220974146153845</v>
      </c>
    </row>
    <row r="996" spans="1:14" x14ac:dyDescent="0.25">
      <c r="A996">
        <f>-144.5805329*(0.3)</f>
        <v>-43.37415987</v>
      </c>
      <c r="B996">
        <f>11.1215794538462*(0.3)</f>
        <v>3.336473836153846</v>
      </c>
      <c r="C996">
        <f>33.3647383615385*(0.3)</f>
        <v>10.009421508461539</v>
      </c>
      <c r="D996">
        <f>11.1215794538462*(0.3)</f>
        <v>3.336473836153846</v>
      </c>
      <c r="E996">
        <f>11.1215794538462*(0.3)</f>
        <v>3.336473836153846</v>
      </c>
      <c r="F996">
        <f>11.1215794538462*(0.3)</f>
        <v>3.336473836153846</v>
      </c>
      <c r="G996">
        <f>6.67294767230769*(0.3)</f>
        <v>2.0018843016923076</v>
      </c>
      <c r="H996">
        <f>11.1215794538462*(0.3)</f>
        <v>3.336473836153846</v>
      </c>
      <c r="I996">
        <f>11.1215794538462*(0.3)</f>
        <v>3.336473836153846</v>
      </c>
      <c r="J996">
        <f>-2.22431589076923*(0.3)</f>
        <v>-0.66729476723076908</v>
      </c>
      <c r="K996">
        <f>11.1215794538462*(0.3)</f>
        <v>3.336473836153846</v>
      </c>
      <c r="L996">
        <f>5.44957393238462*(0.3)</f>
        <v>1.6348721797153847</v>
      </c>
      <c r="M996">
        <f>12.2337373992308*(0.3)</f>
        <v>3.6701212197692312</v>
      </c>
      <c r="N996">
        <f>11.1215794538462*(0.3)</f>
        <v>3.336473836153846</v>
      </c>
    </row>
    <row r="997" spans="1:14" x14ac:dyDescent="0.25">
      <c r="A997">
        <f>-58.65730228*(0.3)</f>
        <v>-17.597190684000001</v>
      </c>
      <c r="B997">
        <f>4.51210017538462*(0.3)</f>
        <v>1.3536300526153846</v>
      </c>
      <c r="C997">
        <f>13.5363005261538*(0.3)</f>
        <v>4.0608901578461536</v>
      </c>
      <c r="D997">
        <f>4.51210017538462*(0.3)</f>
        <v>1.3536300526153846</v>
      </c>
      <c r="E997">
        <f>4.51210017538462*(0.3)</f>
        <v>1.3536300526153846</v>
      </c>
      <c r="F997">
        <f>4.51210017538462*(0.3)</f>
        <v>1.3536300526153846</v>
      </c>
      <c r="G997">
        <f>2.70726010523077*(0.3)</f>
        <v>0.81217803156923074</v>
      </c>
      <c r="H997">
        <f>4.51210017538462*(0.3)</f>
        <v>1.3536300526153846</v>
      </c>
      <c r="I997">
        <f>4.51210017538462*(0.3)</f>
        <v>1.3536300526153846</v>
      </c>
      <c r="J997">
        <f>-0.902420035076923*(0.3)</f>
        <v>-0.27072601052307688</v>
      </c>
      <c r="K997">
        <f>4.51210017538462*(0.3)</f>
        <v>1.3536300526153846</v>
      </c>
      <c r="L997">
        <f>2.21092908593846*(0.3)</f>
        <v>0.66327872578153835</v>
      </c>
      <c r="M997">
        <f>4.96331019292308*(0.3)</f>
        <v>1.4889930578769233</v>
      </c>
      <c r="N997">
        <f>4.51210017538462*(0.3)</f>
        <v>1.3536300526153846</v>
      </c>
    </row>
    <row r="998" spans="1:14" x14ac:dyDescent="0.25">
      <c r="A998">
        <f>-182.5119328*(0.3)</f>
        <v>-54.75357984</v>
      </c>
      <c r="B998">
        <f>14.0393794461538*(0.3)</f>
        <v>4.2118138338461542</v>
      </c>
      <c r="C998">
        <f>42.1181383384615*(0.3)</f>
        <v>12.635441501538462</v>
      </c>
      <c r="D998">
        <f>14.0393794461538*(0.3)</f>
        <v>4.2118138338461542</v>
      </c>
      <c r="E998">
        <f>14.0393794461538*(0.3)</f>
        <v>4.2118138338461542</v>
      </c>
      <c r="F998">
        <f>14.0393794461538*(0.3)</f>
        <v>4.2118138338461542</v>
      </c>
      <c r="G998">
        <f>8.42362766769231*(0.3)</f>
        <v>2.5270883003076925</v>
      </c>
      <c r="H998">
        <f>14.0393794461538*(0.3)</f>
        <v>4.2118138338461542</v>
      </c>
      <c r="I998">
        <f>14.0393794461538*(0.3)</f>
        <v>4.2118138338461542</v>
      </c>
      <c r="J998">
        <f>-2.80787588923077*(0.3)</f>
        <v>-0.84236276676923061</v>
      </c>
      <c r="K998">
        <f>14.0393794461538*(0.3)</f>
        <v>4.2118138338461542</v>
      </c>
      <c r="L998">
        <f>6.87929592861538*(0.3)</f>
        <v>2.0637887785846152</v>
      </c>
      <c r="M998">
        <f>15.4433173907692*(0.3)</f>
        <v>4.6329952172307696</v>
      </c>
      <c r="N998">
        <f>14.0393794461538*(0.3)</f>
        <v>4.2118138338461542</v>
      </c>
    </row>
    <row r="999" spans="1:14" x14ac:dyDescent="0.25">
      <c r="A999">
        <f>-77.13665929*(0.3)</f>
        <v>-23.140997787</v>
      </c>
      <c r="B999">
        <f>5.93358917615385*(0.3)</f>
        <v>1.7800767528461536</v>
      </c>
      <c r="C999">
        <f>17.8007675284615*(0.3)</f>
        <v>5.3402302585384609</v>
      </c>
      <c r="D999">
        <f>5.93358917615385*(0.3)</f>
        <v>1.7800767528461536</v>
      </c>
      <c r="E999">
        <f>5.93358917615385*(0.3)</f>
        <v>1.7800767528461536</v>
      </c>
      <c r="F999">
        <f>5.93358917615385*(0.3)</f>
        <v>1.7800767528461536</v>
      </c>
      <c r="G999">
        <f>3.56015350569231*(0.3)</f>
        <v>1.0680460517076922</v>
      </c>
      <c r="H999">
        <f>5.93358917615385*(0.3)</f>
        <v>1.7800767528461536</v>
      </c>
      <c r="I999">
        <f>5.93358917615385*(0.3)</f>
        <v>1.7800767528461536</v>
      </c>
      <c r="J999">
        <f>-1.18671783523077*(0.3)</f>
        <v>-0.35601535056923062</v>
      </c>
      <c r="K999">
        <f>5.93358917615385*(0.3)</f>
        <v>1.7800767528461536</v>
      </c>
      <c r="L999">
        <f>2.90745869631538*(0.3)</f>
        <v>0.87223760889461532</v>
      </c>
      <c r="M999">
        <f>6.52694809376923*(0.3)</f>
        <v>1.958084428130769</v>
      </c>
      <c r="N999">
        <f>5.93358917615385*(0.3)</f>
        <v>1.7800767528461536</v>
      </c>
    </row>
    <row r="1000" spans="1:14" x14ac:dyDescent="0.25">
      <c r="A1000">
        <f>-218.0056578*(0.3)</f>
        <v>-65.401697339999998</v>
      </c>
      <c r="B1000">
        <f>16.7696659846154*(0.3)</f>
        <v>5.0308997953846148</v>
      </c>
      <c r="C1000">
        <f>50.3089979538461*(0.3)</f>
        <v>15.092699386153843</v>
      </c>
      <c r="D1000">
        <f>16.7696659846154*(0.3)</f>
        <v>5.0308997953846148</v>
      </c>
      <c r="E1000">
        <f>16.7696659846154*(0.3)</f>
        <v>5.0308997953846148</v>
      </c>
      <c r="F1000">
        <f>16.7696659846154*(0.3)</f>
        <v>5.0308997953846148</v>
      </c>
      <c r="G1000">
        <f>10.0617995907692*(0.3)</f>
        <v>3.018539877230769</v>
      </c>
      <c r="H1000">
        <f>16.7696659846154*(0.3)</f>
        <v>5.0308997953846148</v>
      </c>
      <c r="I1000">
        <f>16.7696659846154*(0.3)</f>
        <v>5.0308997953846148</v>
      </c>
      <c r="J1000">
        <f>-3.35393319692308*(0.3)</f>
        <v>-1.0061799590769227</v>
      </c>
      <c r="K1000">
        <f>16.7696659846154*(0.3)</f>
        <v>5.0308997953846148</v>
      </c>
      <c r="L1000">
        <f>8.21713633246154*(0.3)</f>
        <v>2.465140899738461</v>
      </c>
      <c r="M1000">
        <f>18.4466325830769*(0.3)</f>
        <v>5.5339897749230769</v>
      </c>
      <c r="N1000">
        <f>16.7696659846154*(0.3)</f>
        <v>5.0308997953846148</v>
      </c>
    </row>
    <row r="1001" spans="1:14" x14ac:dyDescent="0.25">
      <c r="A1001">
        <f>-96.46839606*(0.3)</f>
        <v>-28.940518818000001</v>
      </c>
      <c r="B1001">
        <f>7.42064585076923*(0.3)</f>
        <v>2.2261937552307693</v>
      </c>
      <c r="C1001">
        <f>22.2619375523077*(0.3)</f>
        <v>6.6785812656923076</v>
      </c>
      <c r="D1001">
        <f>7.42064585076923*(0.3)</f>
        <v>2.2261937552307693</v>
      </c>
      <c r="E1001">
        <f>7.42064585076923*(0.3)</f>
        <v>2.2261937552307693</v>
      </c>
      <c r="F1001">
        <f>7.42064585076923*(0.3)</f>
        <v>2.2261937552307693</v>
      </c>
      <c r="G1001">
        <f>4.45238751046154*(0.3)</f>
        <v>1.3357162531384617</v>
      </c>
      <c r="H1001">
        <f>7.42064585076923*(0.3)</f>
        <v>2.2261937552307693</v>
      </c>
      <c r="I1001">
        <f>7.42064585076923*(0.3)</f>
        <v>2.2261937552307693</v>
      </c>
      <c r="J1001">
        <f>-1.48412917015385*(0.3)</f>
        <v>-0.44523875104615379</v>
      </c>
      <c r="K1001">
        <f>7.42064585076923*(0.3)</f>
        <v>2.2261937552307693</v>
      </c>
      <c r="L1001">
        <f>3.63611646687692*(0.3)</f>
        <v>1.090834940063077</v>
      </c>
      <c r="M1001">
        <f>8.16271043584615*(0.3)</f>
        <v>2.4488131307538463</v>
      </c>
      <c r="N1001">
        <f>7.42064585076923*(0.3)</f>
        <v>2.2261937552307693</v>
      </c>
    </row>
    <row r="1002" spans="1:14" x14ac:dyDescent="0.25">
      <c r="A1002">
        <f>-252.1303408*(0.3)</f>
        <v>-75.63910224</v>
      </c>
      <c r="B1002">
        <f>19.3946416*(0.3)</f>
        <v>5.81839248</v>
      </c>
      <c r="C1002">
        <f>58.1839248*(0.3)</f>
        <v>17.45517744</v>
      </c>
      <c r="D1002">
        <f>19.3946416*(0.3)</f>
        <v>5.81839248</v>
      </c>
      <c r="E1002">
        <f>19.3946416*(0.3)</f>
        <v>5.81839248</v>
      </c>
      <c r="F1002">
        <f>19.3946416*(0.3)</f>
        <v>5.81839248</v>
      </c>
      <c r="G1002">
        <f>11.63678496*(0.3)</f>
        <v>3.4910354880000001</v>
      </c>
      <c r="H1002">
        <f>19.3946416*(0.3)</f>
        <v>5.81839248</v>
      </c>
      <c r="I1002">
        <f>19.3946416*(0.3)</f>
        <v>5.81839248</v>
      </c>
      <c r="J1002">
        <f>-3.87892832*(0.3)</f>
        <v>-1.1636784959999997</v>
      </c>
      <c r="K1002">
        <f>19.3946416*(0.3)</f>
        <v>5.81839248</v>
      </c>
      <c r="L1002">
        <f>9.503374384*(0.3)</f>
        <v>2.8510123152000002</v>
      </c>
      <c r="M1002">
        <f>21.33410576*(0.3)</f>
        <v>6.4002317279999996</v>
      </c>
      <c r="N1002">
        <f>19.3946416*(0.3)</f>
        <v>5.81839248</v>
      </c>
    </row>
    <row r="1003" spans="1:14" x14ac:dyDescent="0.25">
      <c r="A1003">
        <f>-115.4263837*(0.3)</f>
        <v>-34.627915109999996</v>
      </c>
      <c r="B1003">
        <f>8.87895259230769*(0.3)</f>
        <v>2.6636857776923075</v>
      </c>
      <c r="C1003">
        <f>26.6368577769231*(0.3)</f>
        <v>7.9910573330769239</v>
      </c>
      <c r="D1003">
        <f>8.87895259230769*(0.3)</f>
        <v>2.6636857776923075</v>
      </c>
      <c r="E1003">
        <f>8.87895259230769*(0.3)</f>
        <v>2.6636857776923075</v>
      </c>
      <c r="F1003">
        <f>8.87895259230769*(0.3)</f>
        <v>2.6636857776923075</v>
      </c>
      <c r="G1003">
        <f>5.32737155538462*(0.3)</f>
        <v>1.5982114666153844</v>
      </c>
      <c r="H1003">
        <f>8.87895259230769*(0.3)</f>
        <v>2.6636857776923075</v>
      </c>
      <c r="I1003">
        <f>8.87895259230769*(0.3)</f>
        <v>2.6636857776923075</v>
      </c>
      <c r="J1003">
        <f>-1.77579051846154*(0.3)</f>
        <v>-0.53273715553846146</v>
      </c>
      <c r="K1003">
        <f>8.87895259230769*(0.3)</f>
        <v>2.6636857776923075</v>
      </c>
      <c r="L1003">
        <f>4.35068677023077*(0.3)</f>
        <v>1.3052060310692308</v>
      </c>
      <c r="M1003">
        <f>9.76684785153846*(0.3)</f>
        <v>2.930054355461539</v>
      </c>
      <c r="N1003">
        <f>8.87895259230769*(0.3)</f>
        <v>2.6636857776923075</v>
      </c>
    </row>
    <row r="1004" spans="1:14" x14ac:dyDescent="0.25">
      <c r="A1004">
        <f>-289.7420245*(0.3)</f>
        <v>-86.922607350000007</v>
      </c>
      <c r="B1004">
        <f>22.2878480384615*(0.3)</f>
        <v>6.6863544115384617</v>
      </c>
      <c r="C1004">
        <f>66.8635441153846*(0.3)</f>
        <v>20.059063234615387</v>
      </c>
      <c r="D1004">
        <f>22.2878480384615*(0.3)</f>
        <v>6.6863544115384617</v>
      </c>
      <c r="E1004">
        <f>22.2878480384615*(0.3)</f>
        <v>6.6863544115384617</v>
      </c>
      <c r="F1004">
        <f>22.2878480384615*(0.3)</f>
        <v>6.6863544115384617</v>
      </c>
      <c r="G1004">
        <f>13.3727088230769*(0.3)</f>
        <v>4.0118126469230768</v>
      </c>
      <c r="H1004">
        <f>22.2878480384615*(0.3)</f>
        <v>6.6863544115384617</v>
      </c>
      <c r="I1004">
        <f>22.2878480384615*(0.3)</f>
        <v>6.6863544115384617</v>
      </c>
      <c r="J1004">
        <f>-4.45756960769231*(0.3)</f>
        <v>-1.337270882307692</v>
      </c>
      <c r="K1004">
        <f>22.2878480384615*(0.3)</f>
        <v>6.6863544115384617</v>
      </c>
      <c r="L1004">
        <f>10.9210455388462*(0.3)</f>
        <v>3.2763136616538464</v>
      </c>
      <c r="M1004">
        <f>24.5166328423077*(0.3)</f>
        <v>7.3549898526923085</v>
      </c>
      <c r="N1004">
        <f>22.2878480384615*(0.3)</f>
        <v>6.6863544115384617</v>
      </c>
    </row>
    <row r="1005" spans="1:14" x14ac:dyDescent="0.25">
      <c r="A1005">
        <f>-139.5909196*(0.3)</f>
        <v>-41.877275879999999</v>
      </c>
      <c r="B1005">
        <f>10.7377630461538*(0.3)</f>
        <v>3.2213289138461536</v>
      </c>
      <c r="C1005">
        <f>32.2132891384615*(0.3)</f>
        <v>9.6639867415384622</v>
      </c>
      <c r="D1005">
        <f>10.7377630461538*(0.3)</f>
        <v>3.2213289138461536</v>
      </c>
      <c r="E1005">
        <f>10.7377630461538*(0.3)</f>
        <v>3.2213289138461536</v>
      </c>
      <c r="F1005">
        <f>10.7377630461538*(0.3)</f>
        <v>3.2213289138461536</v>
      </c>
      <c r="G1005">
        <f>6.44265782769231*(0.3)</f>
        <v>1.9327973483076921</v>
      </c>
      <c r="H1005">
        <f>10.7377630461538*(0.3)</f>
        <v>3.2213289138461536</v>
      </c>
      <c r="I1005">
        <f>10.7377630461538*(0.3)</f>
        <v>3.2213289138461536</v>
      </c>
      <c r="J1005">
        <f>-2.14755260923077*(0.3)</f>
        <v>-0.64426578276923052</v>
      </c>
      <c r="K1005">
        <f>10.7377630461538*(0.3)</f>
        <v>3.2213289138461536</v>
      </c>
      <c r="L1005">
        <f>5.26150389261538*(0.3)</f>
        <v>1.5784511677846154</v>
      </c>
      <c r="M1005">
        <f>11.8115393507692*(0.3)</f>
        <v>3.5434618052307694</v>
      </c>
      <c r="N1005">
        <f>10.7377630461538*(0.3)</f>
        <v>3.2213289138461536</v>
      </c>
    </row>
    <row r="1006" spans="1:14" x14ac:dyDescent="0.25">
      <c r="A1006">
        <f>-327.578277*(0.3)</f>
        <v>-98.273483100000007</v>
      </c>
      <c r="B1006">
        <f>25.198329*(0.3)</f>
        <v>7.5594986999999998</v>
      </c>
      <c r="C1006">
        <f>75.594987*(0.3)</f>
        <v>22.6784961</v>
      </c>
      <c r="D1006">
        <f>25.198329*(0.3)</f>
        <v>7.5594986999999998</v>
      </c>
      <c r="E1006">
        <f>25.198329*(0.3)</f>
        <v>7.5594986999999998</v>
      </c>
      <c r="F1006">
        <f>25.198329*(0.3)</f>
        <v>7.5594986999999998</v>
      </c>
      <c r="G1006">
        <f>15.1189974*(0.3)</f>
        <v>4.5356992199999997</v>
      </c>
      <c r="H1006">
        <f>25.198329*(0.3)</f>
        <v>7.5594986999999998</v>
      </c>
      <c r="I1006">
        <f>25.198329*(0.3)</f>
        <v>7.5594986999999998</v>
      </c>
      <c r="J1006">
        <f>-5.0396658*(0.3)</f>
        <v>-1.5118997399999996</v>
      </c>
      <c r="K1006">
        <f>25.198329*(0.3)</f>
        <v>7.5594986999999998</v>
      </c>
      <c r="L1006">
        <f>12.34718121*(0.3)</f>
        <v>3.7041543629999998</v>
      </c>
      <c r="M1006">
        <f>27.7181619*(0.3)</f>
        <v>8.3154485700000009</v>
      </c>
      <c r="N1006">
        <f>25.198329*(0.3)</f>
        <v>7.5594986999999998</v>
      </c>
    </row>
    <row r="1007" spans="1:14" x14ac:dyDescent="0.25">
      <c r="A1007">
        <f>-168.3824734*(0.3)</f>
        <v>-50.51474202</v>
      </c>
      <c r="B1007">
        <f>12.9524979538462*(0.3)</f>
        <v>3.8857493861538464</v>
      </c>
      <c r="C1007">
        <f>38.8574938615385*(0.3)</f>
        <v>11.65724815846154</v>
      </c>
      <c r="D1007">
        <f>12.9524979538462*(0.3)</f>
        <v>3.8857493861538464</v>
      </c>
      <c r="E1007">
        <f>12.9524979538462*(0.3)</f>
        <v>3.8857493861538464</v>
      </c>
      <c r="F1007">
        <f>12.9524979538462*(0.3)</f>
        <v>3.8857493861538464</v>
      </c>
      <c r="G1007">
        <f>7.77149877230769*(0.3)</f>
        <v>2.3314496316923079</v>
      </c>
      <c r="H1007">
        <f>12.9524979538462*(0.3)</f>
        <v>3.8857493861538464</v>
      </c>
      <c r="I1007">
        <f>12.9524979538462*(0.3)</f>
        <v>3.8857493861538464</v>
      </c>
      <c r="J1007">
        <f>-2.59049959076923*(0.3)</f>
        <v>-0.77714987723076911</v>
      </c>
      <c r="K1007">
        <f>12.9524979538462*(0.3)</f>
        <v>3.8857493861538464</v>
      </c>
      <c r="L1007">
        <f>6.34672399738462*(0.3)</f>
        <v>1.9040171992153847</v>
      </c>
      <c r="M1007">
        <f>14.2477477492308*(0.3)</f>
        <v>4.2743243247692311</v>
      </c>
      <c r="N1007">
        <f>12.9524979538462*(0.3)</f>
        <v>3.8857493861538464</v>
      </c>
    </row>
    <row r="1008" spans="1:14" x14ac:dyDescent="0.25">
      <c r="A1008">
        <f>-361.7503584*(0.3)</f>
        <v>-108.52510751999999</v>
      </c>
      <c r="B1008">
        <f>27.8269506461538*(0.3)</f>
        <v>8.3480851938461527</v>
      </c>
      <c r="C1008">
        <f>83.4808519384615*(0.3)</f>
        <v>25.044255581538458</v>
      </c>
      <c r="D1008">
        <f>27.8269506461538*(0.3)</f>
        <v>8.3480851938461527</v>
      </c>
      <c r="E1008">
        <f>27.8269506461538*(0.3)</f>
        <v>8.3480851938461527</v>
      </c>
      <c r="F1008">
        <f>27.8269506461538*(0.3)</f>
        <v>8.3480851938461527</v>
      </c>
      <c r="G1008">
        <f>16.6961703876923*(0.3)</f>
        <v>5.0088511163076914</v>
      </c>
      <c r="H1008">
        <f>27.8269506461538*(0.3)</f>
        <v>8.3480851938461527</v>
      </c>
      <c r="I1008">
        <f>27.8269506461538*(0.3)</f>
        <v>8.3480851938461527</v>
      </c>
      <c r="J1008">
        <f>-5.56539012923077*(0.3)</f>
        <v>-1.6696170387692302</v>
      </c>
      <c r="K1008">
        <f>27.8269506461538*(0.3)</f>
        <v>8.3480851938461527</v>
      </c>
      <c r="L1008">
        <f>13.6352058166154*(0.3)</f>
        <v>4.0905617449846146</v>
      </c>
      <c r="M1008">
        <f>30.6096457107692*(0.3)</f>
        <v>9.1828937132307686</v>
      </c>
      <c r="N1008">
        <f>27.8269506461538*(0.3)</f>
        <v>8.3480851938461527</v>
      </c>
    </row>
    <row r="1009" spans="1:14" x14ac:dyDescent="0.25">
      <c r="A1009">
        <f>-6.649418995*(0.3)</f>
        <v>-1.9948256985000001</v>
      </c>
      <c r="B1009">
        <f>0.511493768846154*(0.3)</f>
        <v>0.15344813065384613</v>
      </c>
      <c r="C1009">
        <f>1.53448130653846*(0.3)</f>
        <v>0.46034439196153842</v>
      </c>
      <c r="D1009">
        <f>0.511493768846154*(0.3)</f>
        <v>0.15344813065384613</v>
      </c>
      <c r="E1009">
        <f>0.511493768846154*(0.3)</f>
        <v>0.15344813065384613</v>
      </c>
      <c r="F1009">
        <f>0.511493768846154*(0.3)</f>
        <v>0.15344813065384613</v>
      </c>
      <c r="G1009">
        <f>0.306896261307692*(0.3)</f>
        <v>9.2068878392307679E-2</v>
      </c>
      <c r="H1009">
        <f>0.511493768846154*(0.3)</f>
        <v>0.15344813065384613</v>
      </c>
      <c r="I1009">
        <f>0.511493768846154*(0.3)</f>
        <v>0.15344813065384613</v>
      </c>
      <c r="J1009">
        <f>-0.102298753769231*(0.3)</f>
        <v>-3.0689626130769219E-2</v>
      </c>
      <c r="K1009">
        <f>0.511493768846154*(0.3)</f>
        <v>0.15344813065384613</v>
      </c>
      <c r="L1009">
        <f>0.250631946734615*(0.3)</f>
        <v>7.5189584020384601E-2</v>
      </c>
      <c r="M1009">
        <f>0.562643145730769*(0.3)</f>
        <v>0.16879294371923076</v>
      </c>
      <c r="N1009">
        <f>0.511493768846154*(0.3)</f>
        <v>0.15344813065384613</v>
      </c>
    </row>
    <row r="1010" spans="1:14" x14ac:dyDescent="0.25">
      <c r="A1010">
        <f>-116.4777284*(0.3)</f>
        <v>-34.943318519999998</v>
      </c>
      <c r="B1010">
        <f>8.95982526153846*(0.3)</f>
        <v>2.6879475784615385</v>
      </c>
      <c r="C1010">
        <f>26.8794757846154*(0.3)</f>
        <v>8.0638427353846165</v>
      </c>
      <c r="D1010">
        <f>8.95982526153846*(0.3)</f>
        <v>2.6879475784615385</v>
      </c>
      <c r="E1010">
        <f>8.95982526153846*(0.3)</f>
        <v>2.6879475784615385</v>
      </c>
      <c r="F1010">
        <f>8.95982526153846*(0.3)</f>
        <v>2.6879475784615385</v>
      </c>
      <c r="G1010">
        <f>5.37589515692308*(0.3)</f>
        <v>1.6127685470769231</v>
      </c>
      <c r="H1010">
        <f>8.95982526153846*(0.3)</f>
        <v>2.6879475784615385</v>
      </c>
      <c r="I1010">
        <f>8.95982526153846*(0.3)</f>
        <v>2.6879475784615385</v>
      </c>
      <c r="J1010">
        <f>-1.79196505230769*(0.3)</f>
        <v>-0.53758951569230762</v>
      </c>
      <c r="K1010">
        <f>8.95982526153846*(0.3)</f>
        <v>2.6879475784615385</v>
      </c>
      <c r="L1010">
        <f>4.39031437815385*(0.3)</f>
        <v>1.3170943134461537</v>
      </c>
      <c r="M1010">
        <f>9.85580778769231*(0.3)</f>
        <v>2.956742336307693</v>
      </c>
      <c r="N1010">
        <f>8.95982526153846*(0.3)</f>
        <v>2.6879475784615385</v>
      </c>
    </row>
    <row r="1011" spans="1:14" x14ac:dyDescent="0.25">
      <c r="A1011">
        <f>-3.911919268*(0.3)</f>
        <v>-1.1735757804</v>
      </c>
      <c r="B1011">
        <f>0.300916866769231*(0.3)</f>
        <v>9.0275060030769239E-2</v>
      </c>
      <c r="C1011">
        <f>0.902750600307692*(0.3)</f>
        <v>0.27082518009230772</v>
      </c>
      <c r="D1011">
        <f>0.300916866769231*(0.3)</f>
        <v>9.0275060030769239E-2</v>
      </c>
      <c r="E1011">
        <f>0.300916866769231*(0.3)</f>
        <v>9.0275060030769239E-2</v>
      </c>
      <c r="F1011">
        <f>0.300916866769231*(0.3)</f>
        <v>9.0275060030769239E-2</v>
      </c>
      <c r="G1011">
        <f>0.180550120061538*(0.3)</f>
        <v>5.4165036018461545E-2</v>
      </c>
      <c r="H1011">
        <f>0.300916866769231*(0.3)</f>
        <v>9.0275060030769239E-2</v>
      </c>
      <c r="I1011">
        <f>0.300916866769231*(0.3)</f>
        <v>9.0275060030769239E-2</v>
      </c>
      <c r="J1011">
        <f>-0.0601833733538461*(0.3)</f>
        <v>-1.8055012006153844E-2</v>
      </c>
      <c r="K1011">
        <f>0.300916866769231*(0.3)</f>
        <v>9.0275060030769239E-2</v>
      </c>
      <c r="L1011">
        <f>0.147449264716923*(0.3)</f>
        <v>4.4234779415076926E-2</v>
      </c>
      <c r="M1011">
        <f>0.331008553446154*(0.3)</f>
        <v>9.9302566033846157E-2</v>
      </c>
      <c r="N1011">
        <f>0.300916866769231*(0.3)</f>
        <v>9.0275060030769239E-2</v>
      </c>
    </row>
    <row r="1012" spans="1:14" x14ac:dyDescent="0.25">
      <c r="A1012">
        <f>-153.0926447*(0.3)</f>
        <v>-45.92779341</v>
      </c>
      <c r="B1012">
        <f>11.7763572846154*(0.3)</f>
        <v>3.5329071853846155</v>
      </c>
      <c r="C1012">
        <f>35.3290718538462*(0.3)</f>
        <v>10.598721556153846</v>
      </c>
      <c r="D1012">
        <f>11.7763572846154*(0.3)</f>
        <v>3.5329071853846155</v>
      </c>
      <c r="E1012">
        <f>11.7763572846154*(0.3)</f>
        <v>3.5329071853846155</v>
      </c>
      <c r="F1012">
        <f>11.7763572846154*(0.3)</f>
        <v>3.5329071853846155</v>
      </c>
      <c r="G1012">
        <f>7.06581437076923*(0.3)</f>
        <v>2.119744311230769</v>
      </c>
      <c r="H1012">
        <f>11.7763572846154*(0.3)</f>
        <v>3.5329071853846155</v>
      </c>
      <c r="I1012">
        <f>11.7763572846154*(0.3)</f>
        <v>3.5329071853846155</v>
      </c>
      <c r="J1012">
        <f>-2.35527145692308*(0.3)</f>
        <v>-0.70658143707692289</v>
      </c>
      <c r="K1012">
        <f>11.7763572846154*(0.3)</f>
        <v>3.5329071853846155</v>
      </c>
      <c r="L1012">
        <f>5.77041506946154*(0.3)</f>
        <v>1.7311245208384616</v>
      </c>
      <c r="M1012">
        <f>12.9539930130769*(0.3)</f>
        <v>3.886197903923077</v>
      </c>
      <c r="N1012">
        <f>11.7763572846154*(0.3)</f>
        <v>3.5329071853846155</v>
      </c>
    </row>
    <row r="1013" spans="1:14" x14ac:dyDescent="0.25">
      <c r="A1013">
        <f>-3.683102507*(0.3)</f>
        <v>-1.1049307521</v>
      </c>
      <c r="B1013">
        <f>0.283315577461538*(0.3)</f>
        <v>8.4994673238461535E-2</v>
      </c>
      <c r="C1013">
        <f>0.849946732384615*(0.3)</f>
        <v>0.25498401971538459</v>
      </c>
      <c r="D1013">
        <f>0.283315577461538*(0.3)</f>
        <v>8.4994673238461535E-2</v>
      </c>
      <c r="E1013">
        <f>0.283315577461538*(0.3)</f>
        <v>8.4994673238461535E-2</v>
      </c>
      <c r="F1013">
        <f>0.283315577461538*(0.3)</f>
        <v>8.4994673238461535E-2</v>
      </c>
      <c r="G1013">
        <f>0.169989346476923*(0.3)</f>
        <v>5.0996803943076922E-2</v>
      </c>
      <c r="H1013">
        <f>0.283315577461538*(0.3)</f>
        <v>8.4994673238461535E-2</v>
      </c>
      <c r="I1013">
        <f>0.283315577461538*(0.3)</f>
        <v>8.4994673238461535E-2</v>
      </c>
      <c r="J1013">
        <f>-0.0566631154923077*(0.3)</f>
        <v>-1.6998934647692303E-2</v>
      </c>
      <c r="K1013">
        <f>0.283315577461538*(0.3)</f>
        <v>8.4994673238461535E-2</v>
      </c>
      <c r="L1013">
        <f>0.138824632956154*(0.3)</f>
        <v>4.1647389886846152E-2</v>
      </c>
      <c r="M1013">
        <f>0.311647135207692*(0.3)</f>
        <v>9.349414056230769E-2</v>
      </c>
      <c r="N1013">
        <f>0.283315577461538*(0.3)</f>
        <v>8.4994673238461535E-2</v>
      </c>
    </row>
    <row r="1014" spans="1:14" x14ac:dyDescent="0.25">
      <c r="A1014">
        <f>-192.1829268*(0.3)</f>
        <v>-57.654878039999993</v>
      </c>
      <c r="B1014">
        <f>14.7833020615385*(0.3)</f>
        <v>4.434990618461538</v>
      </c>
      <c r="C1014">
        <f>44.3499061846154*(0.3)</f>
        <v>13.304971855384613</v>
      </c>
      <c r="D1014">
        <f>14.7833020615385*(0.3)</f>
        <v>4.434990618461538</v>
      </c>
      <c r="E1014">
        <f>14.7833020615385*(0.3)</f>
        <v>4.434990618461538</v>
      </c>
      <c r="F1014">
        <f>14.7833020615385*(0.3)</f>
        <v>4.434990618461538</v>
      </c>
      <c r="G1014">
        <f>8.86998123692308*(0.3)</f>
        <v>2.6609943710769226</v>
      </c>
      <c r="H1014">
        <f>14.7833020615385*(0.3)</f>
        <v>4.434990618461538</v>
      </c>
      <c r="I1014">
        <f>14.7833020615385*(0.3)</f>
        <v>4.434990618461538</v>
      </c>
      <c r="J1014">
        <f>-2.95666041230769*(0.3)</f>
        <v>-0.88699812369230735</v>
      </c>
      <c r="K1014">
        <f>14.7833020615385*(0.3)</f>
        <v>4.434990618461538</v>
      </c>
      <c r="L1014">
        <f>7.24381801015385*(0.3)</f>
        <v>2.1731454030461537</v>
      </c>
      <c r="M1014">
        <f>16.2616322676923*(0.3)</f>
        <v>4.878489680307692</v>
      </c>
      <c r="N1014">
        <f>14.7833020615385*(0.3)</f>
        <v>4.434990618461538</v>
      </c>
    </row>
    <row r="1015" spans="1:14" x14ac:dyDescent="0.25">
      <c r="A1015">
        <f>-10.27571722*(0.3)</f>
        <v>-3.0827151660000003</v>
      </c>
      <c r="B1015">
        <f>0.790439786153846*(0.3)</f>
        <v>0.23713193584615386</v>
      </c>
      <c r="C1015">
        <f>2.37131935846154*(0.3)</f>
        <v>0.71139580753846166</v>
      </c>
      <c r="D1015">
        <f>0.790439786153846*(0.3)</f>
        <v>0.23713193584615386</v>
      </c>
      <c r="E1015">
        <f>0.790439786153846*(0.3)</f>
        <v>0.23713193584615386</v>
      </c>
      <c r="F1015">
        <f>0.790439786153846*(0.3)</f>
        <v>0.23713193584615386</v>
      </c>
      <c r="G1015">
        <f>0.474263871692308*(0.3)</f>
        <v>0.14227916150769232</v>
      </c>
      <c r="H1015">
        <f>0.790439786153846*(0.3)</f>
        <v>0.23713193584615386</v>
      </c>
      <c r="I1015">
        <f>0.790439786153846*(0.3)</f>
        <v>0.23713193584615386</v>
      </c>
      <c r="J1015">
        <f>-0.158087957230769*(0.3)</f>
        <v>-4.7426387169230762E-2</v>
      </c>
      <c r="K1015">
        <f>0.790439786153846*(0.3)</f>
        <v>0.23713193584615386</v>
      </c>
      <c r="L1015">
        <f>0.387315495215385*(0.3)</f>
        <v>0.11619464856461539</v>
      </c>
      <c r="M1015">
        <f>0.869483764769231*(0.3)</f>
        <v>0.26084512943076926</v>
      </c>
      <c r="N1015">
        <f>0.790439786153846*(0.3)</f>
        <v>0.23713193584615386</v>
      </c>
    </row>
    <row r="1016" spans="1:14" x14ac:dyDescent="0.25">
      <c r="A1016">
        <f>-233.0443986*(0.3)</f>
        <v>-69.913319579999992</v>
      </c>
      <c r="B1016">
        <f>17.9264922*(0.3)</f>
        <v>5.3779476599999994</v>
      </c>
      <c r="C1016">
        <f>53.7794766*(0.3)</f>
        <v>16.133842979999997</v>
      </c>
      <c r="D1016">
        <f>17.9264922*(0.3)</f>
        <v>5.3779476599999994</v>
      </c>
      <c r="E1016">
        <f>17.9264922*(0.3)</f>
        <v>5.3779476599999994</v>
      </c>
      <c r="F1016">
        <f>17.9264922*(0.3)</f>
        <v>5.3779476599999994</v>
      </c>
      <c r="G1016">
        <f>10.75589532*(0.3)</f>
        <v>3.2267685959999994</v>
      </c>
      <c r="H1016">
        <f>17.9264922*(0.3)</f>
        <v>5.3779476599999994</v>
      </c>
      <c r="I1016">
        <f>17.9264922*(0.3)</f>
        <v>5.3779476599999994</v>
      </c>
      <c r="J1016">
        <f>-3.58529844*(0.3)</f>
        <v>-1.0755895319999997</v>
      </c>
      <c r="K1016">
        <f>17.9264922*(0.3)</f>
        <v>5.3779476599999994</v>
      </c>
      <c r="L1016">
        <f>8.783981178*(0.3)</f>
        <v>2.6351943533999997</v>
      </c>
      <c r="M1016">
        <f>19.71914142*(0.3)</f>
        <v>5.9157424259999996</v>
      </c>
      <c r="N1016">
        <f>17.9264922*(0.3)</f>
        <v>5.3779476599999994</v>
      </c>
    </row>
    <row r="1017" spans="1:14" x14ac:dyDescent="0.25">
      <c r="A1017">
        <f>-11.89648906*(0.3)</f>
        <v>-3.5689467179999999</v>
      </c>
      <c r="B1017">
        <f>0.915114543076923*(0.3)</f>
        <v>0.27453436292307692</v>
      </c>
      <c r="C1017">
        <f>2.74534362923077*(0.3)</f>
        <v>0.82360308876923083</v>
      </c>
      <c r="D1017">
        <f>0.915114543076923*(0.3)</f>
        <v>0.27453436292307692</v>
      </c>
      <c r="E1017">
        <f>0.915114543076923*(0.3)</f>
        <v>0.27453436292307692</v>
      </c>
      <c r="F1017">
        <f>0.915114543076923*(0.3)</f>
        <v>0.27453436292307692</v>
      </c>
      <c r="G1017">
        <f>0.549068725846154*(0.3)</f>
        <v>0.16472061775384614</v>
      </c>
      <c r="H1017">
        <f>0.915114543076923*(0.3)</f>
        <v>0.27453436292307692</v>
      </c>
      <c r="I1017">
        <f>0.915114543076923*(0.3)</f>
        <v>0.27453436292307692</v>
      </c>
      <c r="J1017">
        <f>-0.183022908615385*(0.3)</f>
        <v>-5.4906872584615372E-2</v>
      </c>
      <c r="K1017">
        <f>0.915114543076923*(0.3)</f>
        <v>0.27453436292307692</v>
      </c>
      <c r="L1017">
        <f>0.448406126107692*(0.3)</f>
        <v>0.1345218378323077</v>
      </c>
      <c r="M1017">
        <f>1.00662599738462*(0.3)</f>
        <v>0.3019877992153846</v>
      </c>
      <c r="N1017">
        <f>0.915114543076923*(0.3)</f>
        <v>0.27453436292307692</v>
      </c>
    </row>
    <row r="1018" spans="1:14" x14ac:dyDescent="0.25">
      <c r="A1018">
        <f>-273.8024221*(0.3)</f>
        <v>-82.140726630000003</v>
      </c>
      <c r="B1018">
        <f>21.0617247769231*(0.3)</f>
        <v>6.3185174330769236</v>
      </c>
      <c r="C1018">
        <f>63.1851743307692*(0.3)</f>
        <v>18.955552299230771</v>
      </c>
      <c r="D1018">
        <f>21.0617247769231*(0.3)</f>
        <v>6.3185174330769236</v>
      </c>
      <c r="E1018">
        <f>21.0617247769231*(0.3)</f>
        <v>6.3185174330769236</v>
      </c>
      <c r="F1018">
        <f>21.0617247769231*(0.3)</f>
        <v>6.3185174330769236</v>
      </c>
      <c r="G1018">
        <f>12.6370348661538*(0.3)</f>
        <v>3.7911104598461538</v>
      </c>
      <c r="H1018">
        <f>21.0617247769231*(0.3)</f>
        <v>6.3185174330769236</v>
      </c>
      <c r="I1018">
        <f>21.0617247769231*(0.3)</f>
        <v>6.3185174330769236</v>
      </c>
      <c r="J1018">
        <f>-4.21234495538461*(0.3)</f>
        <v>-1.2637034866153845</v>
      </c>
      <c r="K1018">
        <f>21.0617247769231*(0.3)</f>
        <v>6.3185174330769236</v>
      </c>
      <c r="L1018">
        <f>10.3202451406923*(0.3)</f>
        <v>3.0960735422076922</v>
      </c>
      <c r="M1018">
        <f>23.1678972546154*(0.3)</f>
        <v>6.9503691763846165</v>
      </c>
      <c r="N1018">
        <f>21.0617247769231*(0.3)</f>
        <v>6.3185174330769236</v>
      </c>
    </row>
    <row r="1019" spans="1:14" x14ac:dyDescent="0.25">
      <c r="A1019">
        <f>-15.90066525*(0.3)</f>
        <v>-4.7701995749999995</v>
      </c>
      <c r="B1019">
        <f>1.22312809615385*(0.3)</f>
        <v>0.36693842884615385</v>
      </c>
      <c r="C1019">
        <f>3.66938428846154*(0.3)</f>
        <v>1.1008152865384615</v>
      </c>
      <c r="D1019">
        <f>1.22312809615385*(0.3)</f>
        <v>0.36693842884615385</v>
      </c>
      <c r="E1019">
        <f>1.22312809615385*(0.3)</f>
        <v>0.36693842884615385</v>
      </c>
      <c r="F1019">
        <f>1.22312809615385*(0.3)</f>
        <v>0.36693842884615385</v>
      </c>
      <c r="G1019">
        <f>0.733876857692308*(0.3)</f>
        <v>0.22016305730769231</v>
      </c>
      <c r="H1019">
        <f>1.22312809615385*(0.3)</f>
        <v>0.36693842884615385</v>
      </c>
      <c r="I1019">
        <f>1.22312809615385*(0.3)</f>
        <v>0.36693842884615385</v>
      </c>
      <c r="J1019">
        <f>-0.244625619230769*(0.3)</f>
        <v>-7.3387685769230757E-2</v>
      </c>
      <c r="K1019">
        <f>1.22312809615385*(0.3)</f>
        <v>0.36693842884615385</v>
      </c>
      <c r="L1019">
        <f>0.599332767115385*(0.3)</f>
        <v>0.1797998301346154</v>
      </c>
      <c r="M1019">
        <f>1.34544090576923*(0.3)</f>
        <v>0.40363227173076927</v>
      </c>
      <c r="N1019">
        <f>1.22312809615385*(0.3)</f>
        <v>0.36693842884615385</v>
      </c>
    </row>
    <row r="1020" spans="1:14" x14ac:dyDescent="0.25">
      <c r="A1020">
        <f>-310.833556*(0.3)</f>
        <v>-93.250066799999999</v>
      </c>
      <c r="B1020">
        <f>23.9102735384615*(0.3)</f>
        <v>7.1730820615384614</v>
      </c>
      <c r="C1020">
        <f>71.7308206153846*(0.3)</f>
        <v>21.519246184615383</v>
      </c>
      <c r="D1020">
        <f>23.9102735384615*(0.3)</f>
        <v>7.1730820615384614</v>
      </c>
      <c r="E1020">
        <f>23.9102735384615*(0.3)</f>
        <v>7.1730820615384614</v>
      </c>
      <c r="F1020">
        <f>23.9102735384615*(0.3)</f>
        <v>7.1730820615384614</v>
      </c>
      <c r="G1020">
        <f>14.3461641230769*(0.3)</f>
        <v>4.3038492369230763</v>
      </c>
      <c r="H1020">
        <f>23.9102735384615*(0.3)</f>
        <v>7.1730820615384614</v>
      </c>
      <c r="I1020">
        <f>23.9102735384615*(0.3)</f>
        <v>7.1730820615384614</v>
      </c>
      <c r="J1020">
        <f>-4.78205470769231*(0.3)</f>
        <v>-1.4346164123076921</v>
      </c>
      <c r="K1020">
        <f>23.9102735384615*(0.3)</f>
        <v>7.1730820615384614</v>
      </c>
      <c r="L1020">
        <f>11.7160340338462*(0.3)</f>
        <v>3.5148102101538456</v>
      </c>
      <c r="M1020">
        <f>26.3013008923077*(0.3)</f>
        <v>7.8903902676923074</v>
      </c>
      <c r="N1020">
        <f>23.9102735384615*(0.3)</f>
        <v>7.1730820615384614</v>
      </c>
    </row>
    <row r="1021" spans="1:14" x14ac:dyDescent="0.25">
      <c r="A1021">
        <f>-16.56104841*(0.3)</f>
        <v>-4.9683145230000001</v>
      </c>
      <c r="B1021">
        <f>1.27392680076923*(0.3)</f>
        <v>0.38217804023076923</v>
      </c>
      <c r="C1021">
        <f>3.82178040230769*(0.3)</f>
        <v>1.1465341206923076</v>
      </c>
      <c r="D1021">
        <f>1.27392680076923*(0.3)</f>
        <v>0.38217804023076923</v>
      </c>
      <c r="E1021">
        <f>1.27392680076923*(0.3)</f>
        <v>0.38217804023076923</v>
      </c>
      <c r="F1021">
        <f>1.27392680076923*(0.3)</f>
        <v>0.38217804023076923</v>
      </c>
      <c r="G1021">
        <f>0.764356080461538*(0.3)</f>
        <v>0.22930682413846154</v>
      </c>
      <c r="H1021">
        <f>1.27392680076923*(0.3)</f>
        <v>0.38217804023076923</v>
      </c>
      <c r="I1021">
        <f>1.27392680076923*(0.3)</f>
        <v>0.38217804023076923</v>
      </c>
      <c r="J1021">
        <f>-0.254785360153846*(0.3)</f>
        <v>-7.6435608046153833E-2</v>
      </c>
      <c r="K1021">
        <f>1.27392680076923*(0.3)</f>
        <v>0.38217804023076923</v>
      </c>
      <c r="L1021">
        <f>0.624224132376923*(0.3)</f>
        <v>0.18726723971307693</v>
      </c>
      <c r="M1021">
        <f>1.40131948084615*(0.3)</f>
        <v>0.42039584425384618</v>
      </c>
      <c r="N1021">
        <f>1.27392680076923*(0.3)</f>
        <v>0.38217804023076923</v>
      </c>
    </row>
    <row r="1022" spans="1:14" x14ac:dyDescent="0.25">
      <c r="A1022">
        <f>-348.0746306*(0.3)</f>
        <v>-104.42238918</v>
      </c>
      <c r="B1022">
        <f>26.7749715846154*(0.3)</f>
        <v>8.0324914753846137</v>
      </c>
      <c r="C1022">
        <f>80.3249147538461*(0.3)</f>
        <v>24.097474426153841</v>
      </c>
      <c r="D1022">
        <f>26.7749715846154*(0.3)</f>
        <v>8.0324914753846137</v>
      </c>
      <c r="E1022">
        <f>26.7749715846154*(0.3)</f>
        <v>8.0324914753846137</v>
      </c>
      <c r="F1022">
        <f>26.7749715846154*(0.3)</f>
        <v>8.0324914753846137</v>
      </c>
      <c r="G1022">
        <f>16.0649829507692*(0.3)</f>
        <v>4.8194948852307684</v>
      </c>
      <c r="H1022">
        <f>26.7749715846154*(0.3)</f>
        <v>8.0324914753846137</v>
      </c>
      <c r="I1022">
        <f>26.7749715846154*(0.3)</f>
        <v>8.0324914753846137</v>
      </c>
      <c r="J1022">
        <f>-5.35499431692307*(0.3)</f>
        <v>-1.6064982950769224</v>
      </c>
      <c r="K1022">
        <f>26.7749715846154*(0.3)</f>
        <v>8.0324914753846137</v>
      </c>
      <c r="L1022">
        <f>13.1197360764615*(0.3)</f>
        <v>3.9359208229384608</v>
      </c>
      <c r="M1022">
        <f>29.4524687430769*(0.3)</f>
        <v>8.8357406229230762</v>
      </c>
      <c r="N1022">
        <f>26.7749715846154*(0.3)</f>
        <v>8.0324914753846137</v>
      </c>
    </row>
    <row r="1023" spans="1:14" x14ac:dyDescent="0.25">
      <c r="A1023">
        <f>-18.16510285*(0.3)</f>
        <v>-5.4495308549999999</v>
      </c>
      <c r="B1023">
        <f>1.39731560384615*(0.3)</f>
        <v>0.41919468115384612</v>
      </c>
      <c r="C1023">
        <f>4.19194681153846*(0.3)</f>
        <v>1.2575840434615382</v>
      </c>
      <c r="D1023">
        <f>1.39731560384615*(0.3)</f>
        <v>0.41919468115384612</v>
      </c>
      <c r="E1023">
        <f>1.39731560384615*(0.3)</f>
        <v>0.41919468115384612</v>
      </c>
      <c r="F1023">
        <f>1.39731560384615*(0.3)</f>
        <v>0.41919468115384612</v>
      </c>
      <c r="G1023">
        <f>0.838389362307692*(0.3)</f>
        <v>0.25151680869230764</v>
      </c>
      <c r="H1023">
        <f>1.39731560384615*(0.3)</f>
        <v>0.41919468115384612</v>
      </c>
      <c r="I1023">
        <f>1.39731560384615*(0.3)</f>
        <v>0.41919468115384612</v>
      </c>
      <c r="J1023">
        <f>-0.279463120769231*(0.3)</f>
        <v>-8.3838936230769198E-2</v>
      </c>
      <c r="K1023">
        <f>1.39731560384615*(0.3)</f>
        <v>0.41919468115384612</v>
      </c>
      <c r="L1023">
        <f>0.684684645884615*(0.3)</f>
        <v>0.20540539376538461</v>
      </c>
      <c r="M1023">
        <f>1.53704716423077*(0.3)</f>
        <v>0.46111414926923078</v>
      </c>
      <c r="N1023">
        <f>1.39731560384615*(0.3)</f>
        <v>0.41919468115384612</v>
      </c>
    </row>
    <row r="1024" spans="1:14" x14ac:dyDescent="0.25">
      <c r="A1024">
        <f>-385.7562881*(0.3)</f>
        <v>-115.72688642999999</v>
      </c>
      <c r="B1024">
        <f>29.6735606230769*(0.3)</f>
        <v>8.902068186923076</v>
      </c>
      <c r="C1024">
        <f>89.0206818692308*(0.3)</f>
        <v>26.70620456076923</v>
      </c>
      <c r="D1024">
        <f>29.6735606230769*(0.3)</f>
        <v>8.902068186923076</v>
      </c>
      <c r="E1024">
        <f>29.6735606230769*(0.3)</f>
        <v>8.902068186923076</v>
      </c>
      <c r="F1024">
        <f>29.6735606230769*(0.3)</f>
        <v>8.902068186923076</v>
      </c>
      <c r="G1024">
        <f>17.8041363738462*(0.3)</f>
        <v>5.3412409121538458</v>
      </c>
      <c r="H1024">
        <f>29.6735606230769*(0.3)</f>
        <v>8.902068186923076</v>
      </c>
      <c r="I1024">
        <f>29.6735606230769*(0.3)</f>
        <v>8.902068186923076</v>
      </c>
      <c r="J1024">
        <f>-5.93471212461538*(0.3)</f>
        <v>-1.7804136373846149</v>
      </c>
      <c r="K1024">
        <f>29.6735606230769*(0.3)</f>
        <v>8.902068186923076</v>
      </c>
      <c r="L1024">
        <f>14.5400447053077*(0.3)</f>
        <v>4.3620134115923079</v>
      </c>
      <c r="M1024">
        <f>32.6409166853846*(0.3)</f>
        <v>9.7922750056153856</v>
      </c>
      <c r="N1024">
        <f>29.6735606230769*(0.3)</f>
        <v>8.902068186923076</v>
      </c>
    </row>
    <row r="1025" spans="1:14" x14ac:dyDescent="0.25">
      <c r="A1025">
        <f>-6.099601542*(0.3)</f>
        <v>-1.8298804626</v>
      </c>
      <c r="B1025">
        <f>0.469200118615385*(0.3)</f>
        <v>0.14076003558461539</v>
      </c>
      <c r="C1025">
        <f>1.40760035584615*(0.3)</f>
        <v>0.42228010675384614</v>
      </c>
      <c r="D1025">
        <f>0.469200118615385*(0.3)</f>
        <v>0.14076003558461539</v>
      </c>
      <c r="E1025">
        <f>0.469200118615385*(0.3)</f>
        <v>0.14076003558461539</v>
      </c>
      <c r="F1025">
        <f>0.469200118615385*(0.3)</f>
        <v>0.14076003558461539</v>
      </c>
      <c r="G1025">
        <f>0.281520071169231*(0.3)</f>
        <v>8.4456021350769225E-2</v>
      </c>
      <c r="H1025">
        <f>0.469200118615385*(0.3)</f>
        <v>0.14076003558461539</v>
      </c>
      <c r="I1025">
        <f>0.469200118615385*(0.3)</f>
        <v>0.14076003558461539</v>
      </c>
      <c r="J1025">
        <f>-0.0938400237230769*(0.3)</f>
        <v>-2.8152007116923068E-2</v>
      </c>
      <c r="K1025">
        <f>0.469200118615385*(0.3)</f>
        <v>0.14076003558461539</v>
      </c>
      <c r="L1025">
        <f>0.229908058121538*(0.3)</f>
        <v>6.8972417436461542E-2</v>
      </c>
      <c r="M1025">
        <f>0.516120130476923*(0.3)</f>
        <v>0.15483603914307695</v>
      </c>
      <c r="N1025">
        <f>0.469200118615385*(0.3)</f>
        <v>0.14076003558461539</v>
      </c>
    </row>
    <row r="1026" spans="1:14" x14ac:dyDescent="0.25">
      <c r="A1026">
        <f>1.568117542*(0.3)</f>
        <v>0.47043526259999996</v>
      </c>
      <c r="B1026">
        <f>-0.120624426307692*(0.3)</f>
        <v>-3.6187327892307691E-2</v>
      </c>
      <c r="C1026">
        <f>-0.361873278923077*(0.3)</f>
        <v>-0.10856198367692307</v>
      </c>
      <c r="D1026">
        <f>-0.120624426307692*(0.3)</f>
        <v>-3.6187327892307691E-2</v>
      </c>
      <c r="E1026">
        <f>-0.120624426307692*(0.3)</f>
        <v>-3.6187327892307691E-2</v>
      </c>
      <c r="F1026">
        <f>-0.120624426307692*(0.3)</f>
        <v>-3.6187327892307691E-2</v>
      </c>
      <c r="G1026">
        <f>-0.0723746557846154*(0.3)</f>
        <v>-2.1712396735384613E-2</v>
      </c>
      <c r="H1026">
        <f>-0.120624426307692*(0.3)</f>
        <v>-3.6187327892307691E-2</v>
      </c>
      <c r="I1026">
        <f>-0.120624426307692*(0.3)</f>
        <v>-3.6187327892307691E-2</v>
      </c>
      <c r="J1026">
        <f>0.0241248852615385*(0.3)</f>
        <v>7.2374655784615367E-3</v>
      </c>
      <c r="K1026">
        <f>-0.120624426307692*(0.3)</f>
        <v>-3.6187327892307691E-2</v>
      </c>
      <c r="L1026">
        <f>-0.0591059688907692*(0.3)</f>
        <v>-1.7731790667230768E-2</v>
      </c>
      <c r="M1026">
        <f>-0.132686868938462*(0.3)</f>
        <v>-3.9806060681538462E-2</v>
      </c>
      <c r="N1026">
        <f>-0.120624426307692*(0.3)</f>
        <v>-3.6187327892307691E-2</v>
      </c>
    </row>
    <row r="1027" spans="1:14" x14ac:dyDescent="0.25">
      <c r="A1027">
        <f>-6.859497022*(0.3)</f>
        <v>-2.0578491066</v>
      </c>
      <c r="B1027">
        <f>0.527653617076923*(0.3)</f>
        <v>0.15829608512307691</v>
      </c>
      <c r="C1027">
        <f>1.58296085123077*(0.3)</f>
        <v>0.47488825536923074</v>
      </c>
      <c r="D1027">
        <f>0.527653617076923*(0.3)</f>
        <v>0.15829608512307691</v>
      </c>
      <c r="E1027">
        <f>0.527653617076923*(0.3)</f>
        <v>0.15829608512307691</v>
      </c>
      <c r="F1027">
        <f>0.527653617076923*(0.3)</f>
        <v>0.15829608512307691</v>
      </c>
      <c r="G1027">
        <f>0.316592170246154*(0.3)</f>
        <v>9.4977651073846148E-2</v>
      </c>
      <c r="H1027">
        <f>0.527653617076923*(0.3)</f>
        <v>0.15829608512307691</v>
      </c>
      <c r="I1027">
        <f>0.527653617076923*(0.3)</f>
        <v>0.15829608512307691</v>
      </c>
      <c r="J1027">
        <f>-0.105530723415385*(0.3)</f>
        <v>-3.1659217024615376E-2</v>
      </c>
      <c r="K1027">
        <f>0.527653617076923*(0.3)</f>
        <v>0.15829608512307691</v>
      </c>
      <c r="L1027">
        <f>0.258550272367692*(0.3)</f>
        <v>7.7565081710307682E-2</v>
      </c>
      <c r="M1027">
        <f>0.580418978784615*(0.3)</f>
        <v>0.1741256936353846</v>
      </c>
      <c r="N1027">
        <f>0.527653617076923*(0.3)</f>
        <v>0.15829608512307691</v>
      </c>
    </row>
    <row r="1028" spans="1:14" x14ac:dyDescent="0.25">
      <c r="A1028">
        <f>-0.091126026*(0.3)</f>
        <v>-2.7337807799999999E-2</v>
      </c>
      <c r="B1028">
        <f>0.00700969430769231*(0.3)</f>
        <v>2.1029082923076921E-3</v>
      </c>
      <c r="C1028">
        <f>0.0210290829230769*(0.3)</f>
        <v>6.3087248769230775E-3</v>
      </c>
      <c r="D1028">
        <f>0.00700969430769231*(0.3)</f>
        <v>2.1029082923076921E-3</v>
      </c>
      <c r="E1028">
        <f>0.00700969430769231*(0.3)</f>
        <v>2.1029082923076921E-3</v>
      </c>
      <c r="F1028">
        <f>0.00700969430769231*(0.3)</f>
        <v>2.1029082923076921E-3</v>
      </c>
      <c r="G1028">
        <f>0.00420581658461538*(0.3)</f>
        <v>1.2617449753846153E-3</v>
      </c>
      <c r="H1028">
        <f>0.00700969430769231*(0.3)</f>
        <v>2.1029082923076921E-3</v>
      </c>
      <c r="I1028">
        <f>0.00700969430769231*(0.3)</f>
        <v>2.1029082923076921E-3</v>
      </c>
      <c r="J1028">
        <f>-0.00140193886153846*(0.3)</f>
        <v>-4.2058165846153834E-4</v>
      </c>
      <c r="K1028">
        <f>0.00700969430769231*(0.3)</f>
        <v>2.1029082923076921E-3</v>
      </c>
      <c r="L1028">
        <f>0.00343475021076923*(0.3)</f>
        <v>1.0304250632307693E-3</v>
      </c>
      <c r="M1028">
        <f>0.00771066373846154*(0.3)</f>
        <v>2.3131991215384617E-3</v>
      </c>
      <c r="N1028">
        <f>0.00700969430769231*(0.3)</f>
        <v>2.1029082923076921E-3</v>
      </c>
    </row>
    <row r="1029" spans="1:14" x14ac:dyDescent="0.25">
      <c r="A1029">
        <f>-10.12242886*(0.3)</f>
        <v>-3.0367286579999999</v>
      </c>
      <c r="B1029">
        <f>0.778648373846154*(0.3)</f>
        <v>0.23359451215384613</v>
      </c>
      <c r="C1029">
        <f>2.33594512153846*(0.3)</f>
        <v>0.70078353646153846</v>
      </c>
      <c r="D1029">
        <f>0.778648373846154*(0.3)</f>
        <v>0.23359451215384613</v>
      </c>
      <c r="E1029">
        <f>0.778648373846154*(0.3)</f>
        <v>0.23359451215384613</v>
      </c>
      <c r="F1029">
        <f>0.778648373846154*(0.3)</f>
        <v>0.23359451215384613</v>
      </c>
      <c r="G1029">
        <f>0.467189024307692*(0.3)</f>
        <v>0.14015670729230767</v>
      </c>
      <c r="H1029">
        <f>0.778648373846154*(0.3)</f>
        <v>0.23359451215384613</v>
      </c>
      <c r="I1029">
        <f>0.778648373846154*(0.3)</f>
        <v>0.23359451215384613</v>
      </c>
      <c r="J1029">
        <f>-0.155729674769231*(0.3)</f>
        <v>-4.6718902430769212E-2</v>
      </c>
      <c r="K1029">
        <f>0.778648373846154*(0.3)</f>
        <v>0.23359451215384613</v>
      </c>
      <c r="L1029">
        <f>0.381537703184615*(0.3)</f>
        <v>0.11446131095538462</v>
      </c>
      <c r="M1029">
        <f>0.856513211230769*(0.3)</f>
        <v>0.25695396336923076</v>
      </c>
      <c r="N1029">
        <f>0.778648373846154*(0.3)</f>
        <v>0.23359451215384613</v>
      </c>
    </row>
    <row r="1030" spans="1:14" x14ac:dyDescent="0.25">
      <c r="A1030">
        <f>1.931054236*(0.3)</f>
        <v>0.57931627080000003</v>
      </c>
      <c r="B1030">
        <f>-0.148542633538462*(0.3)</f>
        <v>-4.456279006153846E-2</v>
      </c>
      <c r="C1030">
        <f>-0.445627900615385*(0.3)</f>
        <v>-0.13368837018461538</v>
      </c>
      <c r="D1030">
        <f>-0.148542633538462*(0.3)</f>
        <v>-4.456279006153846E-2</v>
      </c>
      <c r="E1030">
        <f>-0.148542633538462*(0.3)</f>
        <v>-4.456279006153846E-2</v>
      </c>
      <c r="F1030">
        <f>-0.148542633538462*(0.3)</f>
        <v>-4.456279006153846E-2</v>
      </c>
      <c r="G1030">
        <f>-0.0891255801230769*(0.3)</f>
        <v>-2.6737674036923075E-2</v>
      </c>
      <c r="H1030">
        <f>-0.148542633538462*(0.3)</f>
        <v>-4.456279006153846E-2</v>
      </c>
      <c r="I1030">
        <f>-0.148542633538462*(0.3)</f>
        <v>-4.456279006153846E-2</v>
      </c>
      <c r="J1030">
        <f>0.0297085267076923*(0.3)</f>
        <v>8.9125580123076888E-3</v>
      </c>
      <c r="K1030">
        <f>-0.148542633538462*(0.3)</f>
        <v>-4.456279006153846E-2</v>
      </c>
      <c r="L1030">
        <f>-0.0727858904338461*(0.3)</f>
        <v>-2.1835767130153842E-2</v>
      </c>
      <c r="M1030">
        <f>-0.163396896892308*(0.3)</f>
        <v>-4.9019069067692302E-2</v>
      </c>
      <c r="N1030">
        <f>-0.148542633538462*(0.3)</f>
        <v>-4.456279006153846E-2</v>
      </c>
    </row>
    <row r="1031" spans="1:14" x14ac:dyDescent="0.25">
      <c r="A1031">
        <f>-13.75296332*(0.3)</f>
        <v>-4.1258889959999996</v>
      </c>
      <c r="B1031">
        <f>1.05792025538462*(0.3)</f>
        <v>0.31737607661538464</v>
      </c>
      <c r="C1031">
        <f>3.17376076615385*(0.3)</f>
        <v>0.95212822984615386</v>
      </c>
      <c r="D1031">
        <f>1.05792025538462*(0.3)</f>
        <v>0.31737607661538464</v>
      </c>
      <c r="E1031">
        <f>1.05792025538462*(0.3)</f>
        <v>0.31737607661538464</v>
      </c>
      <c r="F1031">
        <f>1.05792025538462*(0.3)</f>
        <v>0.31737607661538464</v>
      </c>
      <c r="G1031">
        <f>0.634752153230769*(0.3)</f>
        <v>0.19042564596923078</v>
      </c>
      <c r="H1031">
        <f>1.05792025538462*(0.3)</f>
        <v>0.31737607661538464</v>
      </c>
      <c r="I1031">
        <f>1.05792025538462*(0.3)</f>
        <v>0.31737607661538464</v>
      </c>
      <c r="J1031">
        <f>-0.211584051076923*(0.3)</f>
        <v>-6.3475215323076914E-2</v>
      </c>
      <c r="K1031">
        <f>1.05792025538462*(0.3)</f>
        <v>0.31737607661538464</v>
      </c>
      <c r="L1031">
        <f>0.518380925138462*(0.3)</f>
        <v>0.15551427754153846</v>
      </c>
      <c r="M1031">
        <f>1.16371228092308*(0.3)</f>
        <v>0.34911368427692313</v>
      </c>
      <c r="N1031">
        <f>1.05792025538462*(0.3)</f>
        <v>0.31737607661538464</v>
      </c>
    </row>
    <row r="1032" spans="1:14" x14ac:dyDescent="0.25">
      <c r="A1032">
        <f>0.51878931*(0.3)</f>
        <v>0.15563679299999997</v>
      </c>
      <c r="B1032">
        <f>-0.03990687*(0.3)</f>
        <v>-1.1972060999999999E-2</v>
      </c>
      <c r="C1032">
        <f>-0.11972061*(0.3)</f>
        <v>-3.5916182999999997E-2</v>
      </c>
      <c r="D1032">
        <f>-0.03990687*(0.3)</f>
        <v>-1.1972060999999999E-2</v>
      </c>
      <c r="E1032">
        <f>-0.03990687*(0.3)</f>
        <v>-1.1972060999999999E-2</v>
      </c>
      <c r="F1032">
        <f>-0.03990687*(0.3)</f>
        <v>-1.1972060999999999E-2</v>
      </c>
      <c r="G1032">
        <f>-0.023944122*(0.3)</f>
        <v>-7.1832365999999993E-3</v>
      </c>
      <c r="H1032">
        <f>-0.03990687*(0.3)</f>
        <v>-1.1972060999999999E-2</v>
      </c>
      <c r="I1032">
        <f>-0.03990687*(0.3)</f>
        <v>-1.1972060999999999E-2</v>
      </c>
      <c r="J1032">
        <f>0.007981374*(0.3)</f>
        <v>2.394412199999999E-3</v>
      </c>
      <c r="K1032">
        <f>-0.03990687*(0.3)</f>
        <v>-1.1972060999999999E-2</v>
      </c>
      <c r="L1032">
        <f>-0.0195543663*(0.3)</f>
        <v>-5.8663098899999992E-3</v>
      </c>
      <c r="M1032">
        <f>-0.043897557*(0.3)</f>
        <v>-1.3169267100000001E-2</v>
      </c>
      <c r="N1032">
        <f>-0.03990687*(0.3)</f>
        <v>-1.1972060999999999E-2</v>
      </c>
    </row>
    <row r="1033" spans="1:14" x14ac:dyDescent="0.25">
      <c r="A1033">
        <f>-17.82132168*(0.3)</f>
        <v>-5.3463965040000003</v>
      </c>
      <c r="B1033">
        <f>1.37087089846154*(0.3)</f>
        <v>0.41126126953846154</v>
      </c>
      <c r="C1033">
        <f>4.11261269538462*(0.3)</f>
        <v>1.2337838086153847</v>
      </c>
      <c r="D1033">
        <f>1.37087089846154*(0.3)</f>
        <v>0.41126126953846154</v>
      </c>
      <c r="E1033">
        <f>1.37087089846154*(0.3)</f>
        <v>0.41126126953846154</v>
      </c>
      <c r="F1033">
        <f>1.37087089846154*(0.3)</f>
        <v>0.41126126953846154</v>
      </c>
      <c r="G1033">
        <f>0.822522539076923*(0.3)</f>
        <v>0.24675676172307692</v>
      </c>
      <c r="H1033">
        <f>1.37087089846154*(0.3)</f>
        <v>0.41126126953846154</v>
      </c>
      <c r="I1033">
        <f>1.37087089846154*(0.3)</f>
        <v>0.41126126953846154</v>
      </c>
      <c r="J1033">
        <f>-0.274174179692308*(0.3)</f>
        <v>-8.2252253907692294E-2</v>
      </c>
      <c r="K1033">
        <f>1.37087089846154*(0.3)</f>
        <v>0.41126126953846154</v>
      </c>
      <c r="L1033">
        <f>0.671726740246154*(0.3)</f>
        <v>0.20151802207384614</v>
      </c>
      <c r="M1033">
        <f>1.50795798830769*(0.3)</f>
        <v>0.45238739649230775</v>
      </c>
      <c r="N1033">
        <f>1.37087089846154*(0.3)</f>
        <v>0.41126126953846154</v>
      </c>
    </row>
    <row r="1034" spans="1:14" x14ac:dyDescent="0.25">
      <c r="A1034">
        <f>-0.065306974*(0.3)</f>
        <v>-1.9592092200000001E-2</v>
      </c>
      <c r="B1034">
        <f>0.00502361338461539*(0.3)</f>
        <v>1.5070840153846156E-3</v>
      </c>
      <c r="C1034">
        <f>0.0150708401538462*(0.3)</f>
        <v>4.5212520461538471E-3</v>
      </c>
      <c r="D1034">
        <f>0.00502361338461539*(0.3)</f>
        <v>1.5070840153846156E-3</v>
      </c>
      <c r="E1034">
        <f>0.00502361338461539*(0.3)</f>
        <v>1.5070840153846156E-3</v>
      </c>
      <c r="F1034">
        <f>0.00502361338461539*(0.3)</f>
        <v>1.5070840153846156E-3</v>
      </c>
      <c r="G1034">
        <f>0.00301416803076923*(0.3)</f>
        <v>9.0425040923076928E-4</v>
      </c>
      <c r="H1034">
        <f>0.00502361338461539*(0.3)</f>
        <v>1.5070840153846156E-3</v>
      </c>
      <c r="I1034">
        <f>0.00502361338461539*(0.3)</f>
        <v>1.5070840153846156E-3</v>
      </c>
      <c r="J1034">
        <f>-0.00100472267692308*(0.3)</f>
        <v>-3.0141680307692304E-4</v>
      </c>
      <c r="K1034">
        <f>0.00502361338461539*(0.3)</f>
        <v>1.5070840153846156E-3</v>
      </c>
      <c r="L1034">
        <f>0.00246157055846154*(0.3)</f>
        <v>7.384711675384616E-4</v>
      </c>
      <c r="M1034">
        <f>0.00552597472307692*(0.3)</f>
        <v>1.6577924169230772E-3</v>
      </c>
      <c r="N1034">
        <f>0.00502361338461539*(0.3)</f>
        <v>1.5070840153846156E-3</v>
      </c>
    </row>
    <row r="1035" spans="1:14" x14ac:dyDescent="0.25">
      <c r="A1035">
        <f>-20.35836435*(0.3)</f>
        <v>-6.1075093049999998</v>
      </c>
      <c r="B1035">
        <f>1.56602802692308*(0.3)</f>
        <v>0.46980840807692303</v>
      </c>
      <c r="C1035">
        <f>4.69808408076923*(0.3)</f>
        <v>1.4094252242307692</v>
      </c>
      <c r="D1035">
        <f>1.56602802692308*(0.3)</f>
        <v>0.46980840807692303</v>
      </c>
      <c r="E1035">
        <f>1.56602802692308*(0.3)</f>
        <v>0.46980840807692303</v>
      </c>
      <c r="F1035">
        <f>1.56602802692308*(0.3)</f>
        <v>0.46980840807692303</v>
      </c>
      <c r="G1035">
        <f>0.939616816153846*(0.3)</f>
        <v>0.28188504484615379</v>
      </c>
      <c r="H1035">
        <f>1.56602802692308*(0.3)</f>
        <v>0.46980840807692303</v>
      </c>
      <c r="I1035">
        <f>1.56602802692308*(0.3)</f>
        <v>0.46980840807692303</v>
      </c>
      <c r="J1035">
        <f>-0.313205605384615*(0.3)</f>
        <v>-9.3961681615384582E-2</v>
      </c>
      <c r="K1035">
        <f>1.56602802692308*(0.3)</f>
        <v>0.46980840807692303</v>
      </c>
      <c r="L1035">
        <f>0.767353733192308*(0.3)</f>
        <v>0.23020611995769227</v>
      </c>
      <c r="M1035">
        <f>1.72263082961538*(0.3)</f>
        <v>0.51678924888461542</v>
      </c>
      <c r="N1035">
        <f>1.56602802692308*(0.3)</f>
        <v>0.46980840807692303</v>
      </c>
    </row>
    <row r="1036" spans="1:14" x14ac:dyDescent="0.25">
      <c r="A1036">
        <f>-0.040812351*(0.3)</f>
        <v>-1.2243705299999999E-2</v>
      </c>
      <c r="B1036">
        <f>0.00313941161538462*(0.3)</f>
        <v>9.4182348461538455E-4</v>
      </c>
      <c r="C1036">
        <f>0.00941823484615385*(0.3)</f>
        <v>2.8254704538461539E-3</v>
      </c>
      <c r="D1036">
        <f>0.00313941161538462*(0.3)</f>
        <v>9.4182348461538455E-4</v>
      </c>
      <c r="E1036">
        <f>0.00313941161538462*(0.3)</f>
        <v>9.4182348461538455E-4</v>
      </c>
      <c r="F1036">
        <f>0.00313941161538462*(0.3)</f>
        <v>9.4182348461538455E-4</v>
      </c>
      <c r="G1036">
        <f>0.00188364696923077*(0.3)</f>
        <v>5.6509409076923071E-4</v>
      </c>
      <c r="H1036">
        <f>0.00313941161538462*(0.3)</f>
        <v>9.4182348461538455E-4</v>
      </c>
      <c r="I1036">
        <f>0.00313941161538462*(0.3)</f>
        <v>9.4182348461538455E-4</v>
      </c>
      <c r="J1036">
        <f>-0.000627882323076923*(0.3)</f>
        <v>-1.8836469692307687E-4</v>
      </c>
      <c r="K1036">
        <f>0.00313941161538462*(0.3)</f>
        <v>9.4182348461538455E-4</v>
      </c>
      <c r="L1036">
        <f>0.00153831169153846*(0.3)</f>
        <v>4.6149350746153839E-4</v>
      </c>
      <c r="M1036">
        <f>0.00345335277692308*(0.3)</f>
        <v>1.036005833076923E-3</v>
      </c>
      <c r="N1036">
        <f>0.00313941161538462*(0.3)</f>
        <v>9.4182348461538455E-4</v>
      </c>
    </row>
    <row r="1037" spans="1:14" x14ac:dyDescent="0.25">
      <c r="A1037">
        <f>-26.04463319*(0.3)</f>
        <v>-7.8133899569999992</v>
      </c>
      <c r="B1037">
        <f>2.00343332230769*(0.3)</f>
        <v>0.60102999669230772</v>
      </c>
      <c r="C1037">
        <f>6.01029996692308*(0.3)</f>
        <v>1.8030899900769228</v>
      </c>
      <c r="D1037">
        <f>2.00343332230769*(0.3)</f>
        <v>0.60102999669230772</v>
      </c>
      <c r="E1037">
        <f>2.00343332230769*(0.3)</f>
        <v>0.60102999669230772</v>
      </c>
      <c r="F1037">
        <f>2.00343332230769*(0.3)</f>
        <v>0.60102999669230772</v>
      </c>
      <c r="G1037">
        <f>1.20205999338462*(0.3)</f>
        <v>0.36061799801538463</v>
      </c>
      <c r="H1037">
        <f>2.00343332230769*(0.3)</f>
        <v>0.60102999669230772</v>
      </c>
      <c r="I1037">
        <f>2.00343332230769*(0.3)</f>
        <v>0.60102999669230772</v>
      </c>
      <c r="J1037">
        <f>-0.400686664461538*(0.3)</f>
        <v>-0.12020599933846152</v>
      </c>
      <c r="K1037">
        <f>2.00343332230769*(0.3)</f>
        <v>0.60102999669230772</v>
      </c>
      <c r="L1037">
        <f>0.981682327930769*(0.3)</f>
        <v>0.29450469837923077</v>
      </c>
      <c r="M1037">
        <f>2.20377665453846*(0.3)</f>
        <v>0.66113299636153844</v>
      </c>
      <c r="N1037">
        <f>2.00343332230769*(0.3)</f>
        <v>0.60102999669230772</v>
      </c>
    </row>
    <row r="1038" spans="1:14" x14ac:dyDescent="0.25">
      <c r="A1038">
        <f>-1.411155694*(0.3)</f>
        <v>-0.42334670820000003</v>
      </c>
      <c r="B1038">
        <f>0.108550438*(0.3)</f>
        <v>3.2565131399999996E-2</v>
      </c>
      <c r="C1038">
        <f>0.325651314*(0.3)</f>
        <v>9.7695394200000008E-2</v>
      </c>
      <c r="D1038">
        <f>0.108550438*(0.3)</f>
        <v>3.2565131399999996E-2</v>
      </c>
      <c r="E1038">
        <f>0.108550438*(0.3)</f>
        <v>3.2565131399999996E-2</v>
      </c>
      <c r="F1038">
        <f>0.108550438*(0.3)</f>
        <v>3.2565131399999996E-2</v>
      </c>
      <c r="G1038">
        <f>0.0651302628*(0.3)</f>
        <v>1.9539078839999998E-2</v>
      </c>
      <c r="H1038">
        <f>0.108550438*(0.3)</f>
        <v>3.2565131399999996E-2</v>
      </c>
      <c r="I1038">
        <f>0.108550438*(0.3)</f>
        <v>3.2565131399999996E-2</v>
      </c>
      <c r="J1038">
        <f>-0.0217100876*(0.3)</f>
        <v>-6.5130262799999979E-3</v>
      </c>
      <c r="K1038">
        <f>0.108550438*(0.3)</f>
        <v>3.2565131399999996E-2</v>
      </c>
      <c r="L1038">
        <f>0.05318971462*(0.3)</f>
        <v>1.5956914385999998E-2</v>
      </c>
      <c r="M1038">
        <f>0.1194054818*(0.3)</f>
        <v>3.5821644540000003E-2</v>
      </c>
      <c r="N1038">
        <f>0.108550438*(0.3)</f>
        <v>3.2565131399999996E-2</v>
      </c>
    </row>
    <row r="1039" spans="1:14" x14ac:dyDescent="0.25">
      <c r="A1039">
        <f>-27.74289118*(0.3)</f>
        <v>-8.3228673539999996</v>
      </c>
      <c r="B1039">
        <f>2.13406855230769*(0.3)</f>
        <v>0.64022056569230779</v>
      </c>
      <c r="C1039">
        <f>6.40220565692308*(0.3)</f>
        <v>1.9206616970769232</v>
      </c>
      <c r="D1039">
        <f>2.13406855230769*(0.3)</f>
        <v>0.64022056569230779</v>
      </c>
      <c r="E1039">
        <f>2.13406855230769*(0.3)</f>
        <v>0.64022056569230779</v>
      </c>
      <c r="F1039">
        <f>2.13406855230769*(0.3)</f>
        <v>0.64022056569230779</v>
      </c>
      <c r="G1039">
        <f>1.28044113138462*(0.3)</f>
        <v>0.38413233941538466</v>
      </c>
      <c r="H1039">
        <f>2.13406855230769*(0.3)</f>
        <v>0.64022056569230779</v>
      </c>
      <c r="I1039">
        <f>2.13406855230769*(0.3)</f>
        <v>0.64022056569230779</v>
      </c>
      <c r="J1039">
        <f>-0.426813710461538*(0.3)</f>
        <v>-0.12804411313846153</v>
      </c>
      <c r="K1039">
        <f>2.13406855230769*(0.3)</f>
        <v>0.64022056569230779</v>
      </c>
      <c r="L1039">
        <f>1.04569359063077*(0.3)</f>
        <v>0.31370807718923083</v>
      </c>
      <c r="M1039">
        <f>2.34747540753846*(0.3)</f>
        <v>0.70424262226153855</v>
      </c>
      <c r="N1039">
        <f>2.13406855230769*(0.3)</f>
        <v>0.64022056569230779</v>
      </c>
    </row>
    <row r="1040" spans="1:14" x14ac:dyDescent="0.25">
      <c r="A1040">
        <f>-1.142054913*(0.3)</f>
        <v>-0.3426164739</v>
      </c>
      <c r="B1040">
        <f>0.0878503779230769*(0.3)</f>
        <v>2.6355113376923072E-2</v>
      </c>
      <c r="C1040">
        <f>0.263551133769231*(0.3)</f>
        <v>7.9065340130769213E-2</v>
      </c>
      <c r="D1040">
        <f>0.0878503779230769*(0.3)</f>
        <v>2.6355113376923072E-2</v>
      </c>
      <c r="E1040">
        <f>0.0878503779230769*(0.3)</f>
        <v>2.6355113376923072E-2</v>
      </c>
      <c r="F1040">
        <f>0.0878503779230769*(0.3)</f>
        <v>2.6355113376923072E-2</v>
      </c>
      <c r="G1040">
        <f>0.0527102267538461*(0.3)</f>
        <v>1.5813068026153843E-2</v>
      </c>
      <c r="H1040">
        <f>0.0878503779230769*(0.3)</f>
        <v>2.6355113376923072E-2</v>
      </c>
      <c r="I1040">
        <f>0.0878503779230769*(0.3)</f>
        <v>2.6355113376923072E-2</v>
      </c>
      <c r="J1040">
        <f>-0.0175700755846154*(0.3)</f>
        <v>-5.271022675384613E-3</v>
      </c>
      <c r="K1040">
        <f>0.0878503779230769*(0.3)</f>
        <v>2.6355113376923072E-2</v>
      </c>
      <c r="L1040">
        <f>0.0430466851823077*(0.3)</f>
        <v>1.2914005554692305E-2</v>
      </c>
      <c r="M1040">
        <f>0.0966354157153846*(0.3)</f>
        <v>2.8990624714615384E-2</v>
      </c>
      <c r="N1040">
        <f>0.0878503779230769*(0.3)</f>
        <v>2.6355113376923072E-2</v>
      </c>
    </row>
    <row r="1041" spans="1:14" x14ac:dyDescent="0.25">
      <c r="A1041">
        <f>2.510733716*(0.3)</f>
        <v>0.75322011479999995</v>
      </c>
      <c r="B1041">
        <f>-0.193133362769231*(0.3)</f>
        <v>-5.7940008830769225E-2</v>
      </c>
      <c r="C1041">
        <f>-0.579400088307692*(0.3)</f>
        <v>-0.17382002649230768</v>
      </c>
      <c r="D1041">
        <f>-0.193133362769231*(0.3)</f>
        <v>-5.7940008830769225E-2</v>
      </c>
      <c r="E1041">
        <f>-0.193133362769231*(0.3)</f>
        <v>-5.7940008830769225E-2</v>
      </c>
      <c r="F1041">
        <f>-0.193133362769231*(0.3)</f>
        <v>-5.7940008830769225E-2</v>
      </c>
      <c r="G1041">
        <f>-0.115880017661538*(0.3)</f>
        <v>-3.4764005298461534E-2</v>
      </c>
      <c r="H1041">
        <f>-0.193133362769231*(0.3)</f>
        <v>-5.7940008830769225E-2</v>
      </c>
      <c r="I1041">
        <f>-0.193133362769231*(0.3)</f>
        <v>-5.7940008830769225E-2</v>
      </c>
      <c r="J1041">
        <f>0.0386266725538461*(0.3)</f>
        <v>1.1588001766153842E-2</v>
      </c>
      <c r="K1041">
        <f>-0.193133362769231*(0.3)</f>
        <v>-5.7940008830769225E-2</v>
      </c>
      <c r="L1041">
        <f>-0.0946353477569231*(0.3)</f>
        <v>-2.8390604327076921E-2</v>
      </c>
      <c r="M1041">
        <f>-0.212446699046154*(0.3)</f>
        <v>-6.3734009713846157E-2</v>
      </c>
      <c r="N1041">
        <f>-0.193133362769231*(0.3)</f>
        <v>-5.7940008830769225E-2</v>
      </c>
    </row>
    <row r="1042" spans="1:14" x14ac:dyDescent="0.25">
      <c r="A1042">
        <f>-3.043612768*(0.3)</f>
        <v>-0.91308383039999996</v>
      </c>
      <c r="B1042">
        <f>0.234124059076923*(0.3)</f>
        <v>7.0237217723076922E-2</v>
      </c>
      <c r="C1042">
        <f>0.702372177230769*(0.3)</f>
        <v>0.21071165316923074</v>
      </c>
      <c r="D1042">
        <f>0.234124059076923*(0.3)</f>
        <v>7.0237217723076922E-2</v>
      </c>
      <c r="E1042">
        <f>0.234124059076923*(0.3)</f>
        <v>7.0237217723076922E-2</v>
      </c>
      <c r="F1042">
        <f>0.234124059076923*(0.3)</f>
        <v>7.0237217723076922E-2</v>
      </c>
      <c r="G1042">
        <f>0.140474435446154*(0.3)</f>
        <v>4.2142330633846155E-2</v>
      </c>
      <c r="H1042">
        <f>0.234124059076923*(0.3)</f>
        <v>7.0237217723076922E-2</v>
      </c>
      <c r="I1042">
        <f>0.234124059076923*(0.3)</f>
        <v>7.0237217723076922E-2</v>
      </c>
      <c r="J1042">
        <f>-0.0468248118153846*(0.3)</f>
        <v>-1.4047443544615382E-2</v>
      </c>
      <c r="K1042">
        <f>0.234124059076923*(0.3)</f>
        <v>7.0237217723076922E-2</v>
      </c>
      <c r="L1042">
        <f>0.114720788947692*(0.3)</f>
        <v>3.441623668430769E-2</v>
      </c>
      <c r="M1042">
        <f>0.257536464984615*(0.3)</f>
        <v>7.7260939495384623E-2</v>
      </c>
      <c r="N1042">
        <f>0.234124059076923*(0.3)</f>
        <v>7.0237217723076922E-2</v>
      </c>
    </row>
    <row r="1043" spans="1:14" x14ac:dyDescent="0.25">
      <c r="A1043">
        <f>-0.16381902*(0.3)</f>
        <v>-4.9145706000000004E-2</v>
      </c>
      <c r="B1043">
        <f>0.0126014630769231*(0.3)</f>
        <v>3.7804389230769232E-3</v>
      </c>
      <c r="C1043">
        <f>0.0378043892307692*(0.3)</f>
        <v>1.1341316769230768E-2</v>
      </c>
      <c r="D1043">
        <f>0.0126014630769231*(0.3)</f>
        <v>3.7804389230769232E-3</v>
      </c>
      <c r="E1043">
        <f>0.0126014630769231*(0.3)</f>
        <v>3.7804389230769232E-3</v>
      </c>
      <c r="F1043">
        <f>0.0126014630769231*(0.3)</f>
        <v>3.7804389230769232E-3</v>
      </c>
      <c r="G1043">
        <f>0.00756087784615385*(0.3)</f>
        <v>2.2682633538461537E-3</v>
      </c>
      <c r="H1043">
        <f>0.0126014630769231*(0.3)</f>
        <v>3.7804389230769232E-3</v>
      </c>
      <c r="I1043">
        <f>0.0126014630769231*(0.3)</f>
        <v>3.7804389230769232E-3</v>
      </c>
      <c r="J1043">
        <f>-0.00252029261538462*(0.3)</f>
        <v>-7.560877846153845E-4</v>
      </c>
      <c r="K1043">
        <f>0.0126014630769231*(0.3)</f>
        <v>3.7804389230769232E-3</v>
      </c>
      <c r="L1043">
        <f>0.00617471690769231*(0.3)</f>
        <v>1.8524150723076922E-3</v>
      </c>
      <c r="M1043">
        <f>0.0138616093846154*(0.3)</f>
        <v>4.1584828153846155E-3</v>
      </c>
      <c r="N1043">
        <f>0.0126014630769231*(0.3)</f>
        <v>3.7804389230769232E-3</v>
      </c>
    </row>
    <row r="1044" spans="1:14" x14ac:dyDescent="0.25">
      <c r="A1044">
        <f>-0.369609286*(0.3)</f>
        <v>-0.11088278579999999</v>
      </c>
      <c r="B1044">
        <f>0.0284314835384615*(0.3)</f>
        <v>8.5294450615384602E-3</v>
      </c>
      <c r="C1044">
        <f>0.0852944506153846*(0.3)</f>
        <v>2.5588335184615382E-2</v>
      </c>
      <c r="D1044">
        <f>0.0284314835384615*(0.3)</f>
        <v>8.5294450615384602E-3</v>
      </c>
      <c r="E1044">
        <f>0.0284314835384615*(0.3)</f>
        <v>8.5294450615384602E-3</v>
      </c>
      <c r="F1044">
        <f>0.0284314835384615*(0.3)</f>
        <v>8.5294450615384602E-3</v>
      </c>
      <c r="G1044">
        <f>0.0170588901230769*(0.3)</f>
        <v>5.1176670369230759E-3</v>
      </c>
      <c r="H1044">
        <f>0.0284314835384615*(0.3)</f>
        <v>8.5294450615384602E-3</v>
      </c>
      <c r="I1044">
        <f>0.0284314835384615*(0.3)</f>
        <v>8.5294450615384602E-3</v>
      </c>
      <c r="J1044">
        <f>-0.00568629670769231*(0.3)</f>
        <v>-1.7058890123076919E-3</v>
      </c>
      <c r="K1044">
        <f>0.0284314835384615*(0.3)</f>
        <v>8.5294450615384602E-3</v>
      </c>
      <c r="L1044">
        <f>0.0139314269338462*(0.3)</f>
        <v>4.1794280801538452E-3</v>
      </c>
      <c r="M1044">
        <f>0.0312746318923077*(0.3)</f>
        <v>9.382389567692306E-3</v>
      </c>
      <c r="N1044">
        <f>0.0284314835384615*(0.3)</f>
        <v>8.5294450615384602E-3</v>
      </c>
    </row>
    <row r="1045" spans="1:14" x14ac:dyDescent="0.25">
      <c r="A1045">
        <f>1.590987035*(0.3)</f>
        <v>0.47729611049999998</v>
      </c>
      <c r="B1045">
        <f>-0.122383618076923*(0.3)</f>
        <v>-3.6715085423076922E-2</v>
      </c>
      <c r="C1045">
        <f>-0.367150854230769*(0.3)</f>
        <v>-0.11014525626923076</v>
      </c>
      <c r="D1045">
        <f>-0.122383618076923*(0.3)</f>
        <v>-3.6715085423076922E-2</v>
      </c>
      <c r="E1045">
        <f>-0.122383618076923*(0.3)</f>
        <v>-3.6715085423076922E-2</v>
      </c>
      <c r="F1045">
        <f>-0.122383618076923*(0.3)</f>
        <v>-3.6715085423076922E-2</v>
      </c>
      <c r="G1045">
        <f>-0.0734301708461538*(0.3)</f>
        <v>-2.2029051253846153E-2</v>
      </c>
      <c r="H1045">
        <f>-0.122383618076923*(0.3)</f>
        <v>-3.6715085423076922E-2</v>
      </c>
      <c r="I1045">
        <f>-0.122383618076923*(0.3)</f>
        <v>-3.6715085423076922E-2</v>
      </c>
      <c r="J1045">
        <f>0.0244767236153846*(0.3)</f>
        <v>7.3430170846153827E-3</v>
      </c>
      <c r="K1045">
        <f>-0.122383618076923*(0.3)</f>
        <v>-3.6715085423076922E-2</v>
      </c>
      <c r="L1045">
        <f>-0.0599679728576923*(0.3)</f>
        <v>-1.7990391857307692E-2</v>
      </c>
      <c r="M1045">
        <f>-0.134621979884615*(0.3)</f>
        <v>-4.0386593965384611E-2</v>
      </c>
      <c r="N1045">
        <f>-0.122383618076923*(0.3)</f>
        <v>-3.6715085423076922E-2</v>
      </c>
    </row>
    <row r="1046" spans="1:14" x14ac:dyDescent="0.25">
      <c r="A1046">
        <f>-2.034990454*(0.3)</f>
        <v>-0.6104971361999999</v>
      </c>
      <c r="B1046">
        <f>0.156537727230769*(0.3)</f>
        <v>4.6961318169230763E-2</v>
      </c>
      <c r="C1046">
        <f>0.469613181692308*(0.3)</f>
        <v>0.14088395450769231</v>
      </c>
      <c r="D1046">
        <f>0.156537727230769*(0.3)</f>
        <v>4.6961318169230763E-2</v>
      </c>
      <c r="E1046">
        <f>0.156537727230769*(0.3)</f>
        <v>4.6961318169230763E-2</v>
      </c>
      <c r="F1046">
        <f>0.156537727230769*(0.3)</f>
        <v>4.6961318169230763E-2</v>
      </c>
      <c r="G1046">
        <f>0.0939226363384615*(0.3)</f>
        <v>2.8176790901538455E-2</v>
      </c>
      <c r="H1046">
        <f>0.156537727230769*(0.3)</f>
        <v>4.6961318169230763E-2</v>
      </c>
      <c r="I1046">
        <f>0.156537727230769*(0.3)</f>
        <v>4.6961318169230763E-2</v>
      </c>
      <c r="J1046">
        <f>-0.0313075454461538*(0.3)</f>
        <v>-9.3922636338461506E-3</v>
      </c>
      <c r="K1046">
        <f>0.156537727230769*(0.3)</f>
        <v>4.6961318169230763E-2</v>
      </c>
      <c r="L1046">
        <f>0.0767034863430769*(0.3)</f>
        <v>2.3011045902923074E-2</v>
      </c>
      <c r="M1046">
        <f>0.172191499953846*(0.3)</f>
        <v>5.1657449986153847E-2</v>
      </c>
      <c r="N1046">
        <f>0.156537727230769*(0.3)</f>
        <v>4.6961318169230763E-2</v>
      </c>
    </row>
    <row r="1047" spans="1:14" x14ac:dyDescent="0.25">
      <c r="A1047">
        <f>-1.678274641*(0.3)</f>
        <v>-0.50348239230000003</v>
      </c>
      <c r="B1047">
        <f>0.129098049307692*(0.3)</f>
        <v>3.8729414792307688E-2</v>
      </c>
      <c r="C1047">
        <f>0.387294147923077*(0.3)</f>
        <v>0.11618824437692307</v>
      </c>
      <c r="D1047">
        <f>0.129098049307692*(0.3)</f>
        <v>3.8729414792307688E-2</v>
      </c>
      <c r="E1047">
        <f>0.129098049307692*(0.3)</f>
        <v>3.8729414792307688E-2</v>
      </c>
      <c r="F1047">
        <f>0.129098049307692*(0.3)</f>
        <v>3.8729414792307688E-2</v>
      </c>
      <c r="G1047">
        <f>0.0774588295846154*(0.3)</f>
        <v>2.3237648875384612E-2</v>
      </c>
      <c r="H1047">
        <f>0.129098049307692*(0.3)</f>
        <v>3.8729414792307688E-2</v>
      </c>
      <c r="I1047">
        <f>0.129098049307692*(0.3)</f>
        <v>3.8729414792307688E-2</v>
      </c>
      <c r="J1047">
        <f>-0.0258196098615385*(0.3)</f>
        <v>-7.7458829584615366E-3</v>
      </c>
      <c r="K1047">
        <f>0.129098049307692*(0.3)</f>
        <v>3.8729414792307688E-2</v>
      </c>
      <c r="L1047">
        <f>0.0632580441607692*(0.3)</f>
        <v>1.8977413248230768E-2</v>
      </c>
      <c r="M1047">
        <f>0.142007854238462*(0.3)</f>
        <v>4.2602356271538459E-2</v>
      </c>
      <c r="N1047">
        <f>0.129098049307692*(0.3)</f>
        <v>3.8729414792307688E-2</v>
      </c>
    </row>
    <row r="1048" spans="1:14" x14ac:dyDescent="0.25">
      <c r="A1048">
        <f>0.370814024*(0.3)</f>
        <v>0.1112442072</v>
      </c>
      <c r="B1048">
        <f>-0.0285241556923077*(0.3)</f>
        <v>-8.5572467076923068E-3</v>
      </c>
      <c r="C1048">
        <f>-0.0855724670769231*(0.3)</f>
        <v>-2.5671740123076922E-2</v>
      </c>
      <c r="D1048">
        <f>-0.0285241556923077*(0.3)</f>
        <v>-8.5572467076923068E-3</v>
      </c>
      <c r="E1048">
        <f>-0.0285241556923077*(0.3)</f>
        <v>-8.5572467076923068E-3</v>
      </c>
      <c r="F1048">
        <f>-0.0285241556923077*(0.3)</f>
        <v>-8.5572467076923068E-3</v>
      </c>
      <c r="G1048">
        <f>-0.0171144934153846*(0.3)</f>
        <v>-5.1343480246153839E-3</v>
      </c>
      <c r="H1048">
        <f>-0.0285241556923077*(0.3)</f>
        <v>-8.5572467076923068E-3</v>
      </c>
      <c r="I1048">
        <f>-0.0285241556923077*(0.3)</f>
        <v>-8.5572467076923068E-3</v>
      </c>
      <c r="J1048">
        <f>0.00570483113846154*(0.3)</f>
        <v>1.711449341538461E-3</v>
      </c>
      <c r="K1048">
        <f>-0.0285241556923077*(0.3)</f>
        <v>-8.5572467076923068E-3</v>
      </c>
      <c r="L1048">
        <f>-0.0139768362892308*(0.3)</f>
        <v>-4.1930508867692303E-3</v>
      </c>
      <c r="M1048">
        <f>-0.0313765712615385*(0.3)</f>
        <v>-9.412971378461539E-3</v>
      </c>
      <c r="N1048">
        <f>-0.0285241556923077*(0.3)</f>
        <v>-8.5572467076923068E-3</v>
      </c>
    </row>
    <row r="1049" spans="1:14" x14ac:dyDescent="0.25">
      <c r="A1049">
        <f>0.228641372*(0.3)</f>
        <v>6.85924116E-2</v>
      </c>
      <c r="B1049">
        <f>-0.0175877978461538*(0.3)</f>
        <v>-5.2763393538461543E-3</v>
      </c>
      <c r="C1049">
        <f>-0.0527633935384615*(0.3)</f>
        <v>-1.5829018061538462E-2</v>
      </c>
      <c r="D1049">
        <f>-0.0175877978461538*(0.3)</f>
        <v>-5.2763393538461543E-3</v>
      </c>
      <c r="E1049">
        <f>-0.0175877978461538*(0.3)</f>
        <v>-5.2763393538461543E-3</v>
      </c>
      <c r="F1049">
        <f>-0.0175877978461538*(0.3)</f>
        <v>-5.2763393538461543E-3</v>
      </c>
      <c r="G1049">
        <f>-0.0105526787076923*(0.3)</f>
        <v>-3.1658036123076924E-3</v>
      </c>
      <c r="H1049">
        <f>-0.0175877978461538*(0.3)</f>
        <v>-5.2763393538461543E-3</v>
      </c>
      <c r="I1049">
        <f>-0.0175877978461538*(0.3)</f>
        <v>-5.2763393538461543E-3</v>
      </c>
      <c r="J1049">
        <f>0.00351755956923077*(0.3)</f>
        <v>1.0552678707692305E-3</v>
      </c>
      <c r="K1049">
        <f>-0.0175877978461538*(0.3)</f>
        <v>-5.2763393538461543E-3</v>
      </c>
      <c r="L1049">
        <f>-0.00861802094461538*(0.3)</f>
        <v>-2.5854062833846154E-3</v>
      </c>
      <c r="M1049">
        <f>-0.0193465776307692*(0.3)</f>
        <v>-5.8039732892307691E-3</v>
      </c>
      <c r="N1049">
        <f>-0.0175877978461538*(0.3)</f>
        <v>-5.2763393538461543E-3</v>
      </c>
    </row>
    <row r="1050" spans="1:14" x14ac:dyDescent="0.25">
      <c r="A1050">
        <f>-1.747972737*(0.3)</f>
        <v>-0.52439182109999993</v>
      </c>
      <c r="B1050">
        <f>0.134459441307692*(0.3)</f>
        <v>4.033783239230769E-2</v>
      </c>
      <c r="C1050">
        <f>0.403378323923077*(0.3)</f>
        <v>0.12101349717692307</v>
      </c>
      <c r="D1050">
        <f>0.134459441307692*(0.3)</f>
        <v>4.033783239230769E-2</v>
      </c>
      <c r="E1050">
        <f>0.134459441307692*(0.3)</f>
        <v>4.033783239230769E-2</v>
      </c>
      <c r="F1050">
        <f>0.134459441307692*(0.3)</f>
        <v>4.033783239230769E-2</v>
      </c>
      <c r="G1050">
        <f>0.0806756647846154*(0.3)</f>
        <v>2.4202699435384615E-2</v>
      </c>
      <c r="H1050">
        <f>0.134459441307692*(0.3)</f>
        <v>4.033783239230769E-2</v>
      </c>
      <c r="I1050">
        <f>0.134459441307692*(0.3)</f>
        <v>4.033783239230769E-2</v>
      </c>
      <c r="J1050">
        <f>-0.0268918882615385*(0.3)</f>
        <v>-8.067566478461536E-3</v>
      </c>
      <c r="K1050">
        <f>0.134459441307692*(0.3)</f>
        <v>4.033783239230769E-2</v>
      </c>
      <c r="L1050">
        <f>0.0658851262407692*(0.3)</f>
        <v>1.9765537872230766E-2</v>
      </c>
      <c r="M1050">
        <f>0.147905385438462*(0.3)</f>
        <v>4.4371615631538464E-2</v>
      </c>
      <c r="N1050">
        <f>0.134459441307692*(0.3)</f>
        <v>4.033783239230769E-2</v>
      </c>
    </row>
    <row r="1051" spans="1:14" x14ac:dyDescent="0.25">
      <c r="A1051">
        <f>2.088648591*(0.3)</f>
        <v>0.62659457730000001</v>
      </c>
      <c r="B1051">
        <f>-0.160665276230769*(0.3)</f>
        <v>-4.8199582869230768E-2</v>
      </c>
      <c r="C1051">
        <f>-0.481995828692308*(0.3)</f>
        <v>-0.14459874860769231</v>
      </c>
      <c r="D1051">
        <f>-0.160665276230769*(0.3)</f>
        <v>-4.8199582869230768E-2</v>
      </c>
      <c r="E1051">
        <f>-0.160665276230769*(0.3)</f>
        <v>-4.8199582869230768E-2</v>
      </c>
      <c r="F1051">
        <f>-0.160665276230769*(0.3)</f>
        <v>-4.8199582869230768E-2</v>
      </c>
      <c r="G1051">
        <f>-0.0963991657384615*(0.3)</f>
        <v>-2.8919749721538459E-2</v>
      </c>
      <c r="H1051">
        <f>-0.160665276230769*(0.3)</f>
        <v>-4.8199582869230768E-2</v>
      </c>
      <c r="I1051">
        <f>-0.160665276230769*(0.3)</f>
        <v>-4.8199582869230768E-2</v>
      </c>
      <c r="J1051">
        <f>0.0321330552461538*(0.3)</f>
        <v>9.6399165738461513E-3</v>
      </c>
      <c r="K1051">
        <f>-0.160665276230769*(0.3)</f>
        <v>-4.8199582869230768E-2</v>
      </c>
      <c r="L1051">
        <f>-0.0787259853530769*(0.3)</f>
        <v>-2.3617795605923076E-2</v>
      </c>
      <c r="M1051">
        <f>-0.176731803853846*(0.3)</f>
        <v>-5.301954115615385E-2</v>
      </c>
      <c r="N1051">
        <f>-0.160665276230769*(0.3)</f>
        <v>-4.8199582869230768E-2</v>
      </c>
    </row>
    <row r="1052" spans="1:14" x14ac:dyDescent="0.25">
      <c r="A1052">
        <f>0.820706832*(0.3)</f>
        <v>0.24621204960000001</v>
      </c>
      <c r="B1052">
        <f>-0.0631312947692308*(0.3)</f>
        <v>-1.8939388430769231E-2</v>
      </c>
      <c r="C1052">
        <f>-0.189393884307692*(0.3)</f>
        <v>-5.6818165292307689E-2</v>
      </c>
      <c r="D1052">
        <f>-0.0631312947692308*(0.3)</f>
        <v>-1.8939388430769231E-2</v>
      </c>
      <c r="E1052">
        <f>-0.0631312947692308*(0.3)</f>
        <v>-1.8939388430769231E-2</v>
      </c>
      <c r="F1052">
        <f>-0.0631312947692308*(0.3)</f>
        <v>-1.8939388430769231E-2</v>
      </c>
      <c r="G1052">
        <f>-0.0378787768615385*(0.3)</f>
        <v>-1.1363633058461537E-2</v>
      </c>
      <c r="H1052">
        <f>-0.0631312947692308*(0.3)</f>
        <v>-1.8939388430769231E-2</v>
      </c>
      <c r="I1052">
        <f>-0.0631312947692308*(0.3)</f>
        <v>-1.8939388430769231E-2</v>
      </c>
      <c r="J1052">
        <f>0.0126262589538462*(0.3)</f>
        <v>3.7878776861538449E-3</v>
      </c>
      <c r="K1052">
        <f>-0.0631312947692308*(0.3)</f>
        <v>-1.8939388430769231E-2</v>
      </c>
      <c r="L1052">
        <f>-0.0309343344369231*(0.3)</f>
        <v>-9.2803003310769228E-3</v>
      </c>
      <c r="M1052">
        <f>-0.0694444242461539*(0.3)</f>
        <v>-2.0833327273846156E-2</v>
      </c>
      <c r="N1052">
        <f>-0.0631312947692308*(0.3)</f>
        <v>-1.8939388430769231E-2</v>
      </c>
    </row>
    <row r="1053" spans="1:14" x14ac:dyDescent="0.25">
      <c r="A1053">
        <f>1.474696792*(0.3)</f>
        <v>0.4424090376</v>
      </c>
      <c r="B1053">
        <f>-0.113438214769231*(0.3)</f>
        <v>-3.403146443076923E-2</v>
      </c>
      <c r="C1053">
        <f>-0.340314644307692*(0.3)</f>
        <v>-0.1020943932923077</v>
      </c>
      <c r="D1053">
        <f>-0.113438214769231*(0.3)</f>
        <v>-3.403146443076923E-2</v>
      </c>
      <c r="E1053">
        <f>-0.113438214769231*(0.3)</f>
        <v>-3.403146443076923E-2</v>
      </c>
      <c r="F1053">
        <f>-0.113438214769231*(0.3)</f>
        <v>-3.403146443076923E-2</v>
      </c>
      <c r="G1053">
        <f>-0.0680629288615385*(0.3)</f>
        <v>-2.0418878658461537E-2</v>
      </c>
      <c r="H1053">
        <f>-0.113438214769231*(0.3)</f>
        <v>-3.403146443076923E-2</v>
      </c>
      <c r="I1053">
        <f>-0.113438214769231*(0.3)</f>
        <v>-3.403146443076923E-2</v>
      </c>
      <c r="J1053">
        <f>0.0226876429538461*(0.3)</f>
        <v>6.8062928861538441E-3</v>
      </c>
      <c r="K1053">
        <f>-0.113438214769231*(0.3)</f>
        <v>-3.403146443076923E-2</v>
      </c>
      <c r="L1053">
        <f>-0.0555847252369231*(0.3)</f>
        <v>-1.6675417571076923E-2</v>
      </c>
      <c r="M1053">
        <f>-0.124782036246154*(0.3)</f>
        <v>-3.7434610873846155E-2</v>
      </c>
      <c r="N1053">
        <f>-0.113438214769231*(0.3)</f>
        <v>-3.403146443076923E-2</v>
      </c>
    </row>
    <row r="1054" spans="1:14" x14ac:dyDescent="0.25">
      <c r="A1054">
        <f>1.110013299*(0.3)</f>
        <v>0.3330039897</v>
      </c>
      <c r="B1054">
        <f>-0.0853856383846154*(0.3)</f>
        <v>-2.5615691515384613E-2</v>
      </c>
      <c r="C1054">
        <f>-0.256156915153846*(0.3)</f>
        <v>-7.6847074546153846E-2</v>
      </c>
      <c r="D1054">
        <f>-0.0853856383846154*(0.3)</f>
        <v>-2.5615691515384613E-2</v>
      </c>
      <c r="E1054">
        <f>-0.0853856383846154*(0.3)</f>
        <v>-2.5615691515384613E-2</v>
      </c>
      <c r="F1054">
        <f>-0.0853856383846154*(0.3)</f>
        <v>-2.5615691515384613E-2</v>
      </c>
      <c r="G1054">
        <f>-0.0512313830307692*(0.3)</f>
        <v>-1.5369414909230767E-2</v>
      </c>
      <c r="H1054">
        <f>-0.0853856383846154*(0.3)</f>
        <v>-2.5615691515384613E-2</v>
      </c>
      <c r="I1054">
        <f>-0.0853856383846154*(0.3)</f>
        <v>-2.5615691515384613E-2</v>
      </c>
      <c r="J1054">
        <f>0.0170771276769231*(0.3)</f>
        <v>5.1231383030769222E-3</v>
      </c>
      <c r="K1054">
        <f>-0.0853856383846154*(0.3)</f>
        <v>-2.5615691515384613E-2</v>
      </c>
      <c r="L1054">
        <f>-0.0418389628084615*(0.3)</f>
        <v>-1.2551688842538459E-2</v>
      </c>
      <c r="M1054">
        <f>-0.0939242022230769*(0.3)</f>
        <v>-2.8177260666923078E-2</v>
      </c>
      <c r="N1054">
        <f>-0.0853856383846154*(0.3)</f>
        <v>-2.5615691515384613E-2</v>
      </c>
    </row>
    <row r="1055" spans="1:14" x14ac:dyDescent="0.25">
      <c r="A1055">
        <f>0.139846789*(0.3)</f>
        <v>4.1954036699999996E-2</v>
      </c>
      <c r="B1055">
        <f>-0.0107574453076923*(0.3)</f>
        <v>-3.2272335923076924E-3</v>
      </c>
      <c r="C1055">
        <f>-0.0322723359230769*(0.3)</f>
        <v>-9.6817007769230776E-3</v>
      </c>
      <c r="D1055">
        <f>-0.0107574453076923*(0.3)</f>
        <v>-3.2272335923076924E-3</v>
      </c>
      <c r="E1055">
        <f>-0.0107574453076923*(0.3)</f>
        <v>-3.2272335923076924E-3</v>
      </c>
      <c r="F1055">
        <f>-0.0107574453076923*(0.3)</f>
        <v>-3.2272335923076924E-3</v>
      </c>
      <c r="G1055">
        <f>-0.00645446718461538*(0.3)</f>
        <v>-1.9363401553846153E-3</v>
      </c>
      <c r="H1055">
        <f>-0.0107574453076923*(0.3)</f>
        <v>-3.2272335923076924E-3</v>
      </c>
      <c r="I1055">
        <f>-0.0107574453076923*(0.3)</f>
        <v>-3.2272335923076924E-3</v>
      </c>
      <c r="J1055">
        <f>0.00215148906153846*(0.3)</f>
        <v>6.4544671846153835E-4</v>
      </c>
      <c r="K1055">
        <f>-0.0107574453076923*(0.3)</f>
        <v>-3.2272335923076924E-3</v>
      </c>
      <c r="L1055">
        <f>-0.00527114820076923*(0.3)</f>
        <v>-1.5813444602307692E-3</v>
      </c>
      <c r="M1055">
        <f>-0.0118331898384615*(0.3)</f>
        <v>-3.5499569515384621E-3</v>
      </c>
      <c r="N1055">
        <f>-0.0107574453076923*(0.3)</f>
        <v>-3.2272335923076924E-3</v>
      </c>
    </row>
    <row r="1056" spans="1:14" x14ac:dyDescent="0.25">
      <c r="A1056">
        <f>2.013433345*(0.3)</f>
        <v>0.60403000350000002</v>
      </c>
      <c r="B1056">
        <f>-0.154879488076923*(0.3)</f>
        <v>-4.6463846423076924E-2</v>
      </c>
      <c r="C1056">
        <f>-0.464638464230769*(0.3)</f>
        <v>-0.13939153926923079</v>
      </c>
      <c r="D1056">
        <f>-0.154879488076923*(0.3)</f>
        <v>-4.6463846423076924E-2</v>
      </c>
      <c r="E1056">
        <f>-0.154879488076923*(0.3)</f>
        <v>-4.6463846423076924E-2</v>
      </c>
      <c r="F1056">
        <f>-0.154879488076923*(0.3)</f>
        <v>-4.6463846423076924E-2</v>
      </c>
      <c r="G1056">
        <f>-0.0929276928461538*(0.3)</f>
        <v>-2.7878307853846155E-2</v>
      </c>
      <c r="H1056">
        <f>-0.154879488076923*(0.3)</f>
        <v>-4.6463846423076924E-2</v>
      </c>
      <c r="I1056">
        <f>-0.154879488076923*(0.3)</f>
        <v>-4.6463846423076924E-2</v>
      </c>
      <c r="J1056">
        <f>0.0309758976153846*(0.3)</f>
        <v>9.2927692846153827E-3</v>
      </c>
      <c r="K1056">
        <f>-0.154879488076923*(0.3)</f>
        <v>-4.6463846423076924E-2</v>
      </c>
      <c r="L1056">
        <f>-0.0758909491576923*(0.3)</f>
        <v>-2.2767284747307694E-2</v>
      </c>
      <c r="M1056">
        <f>-0.170367436884615*(0.3)</f>
        <v>-5.1110231065384627E-2</v>
      </c>
      <c r="N1056">
        <f>-0.154879488076923*(0.3)</f>
        <v>-4.6463846423076924E-2</v>
      </c>
    </row>
    <row r="1057" spans="1:14" x14ac:dyDescent="0.25">
      <c r="A1057">
        <f>-13.98016699*(0.3)</f>
        <v>-4.1940500969999999</v>
      </c>
      <c r="B1057">
        <f>1.07539746076923*(0.3)</f>
        <v>0.32261923823076927</v>
      </c>
      <c r="C1057">
        <f>3.22619238230769*(0.3)</f>
        <v>0.96785771469230775</v>
      </c>
      <c r="D1057">
        <f>1.07539746076923*(0.3)</f>
        <v>0.32261923823076927</v>
      </c>
      <c r="E1057">
        <f>1.07539746076923*(0.3)</f>
        <v>0.32261923823076927</v>
      </c>
      <c r="F1057">
        <f>1.07539746076923*(0.3)</f>
        <v>0.32261923823076927</v>
      </c>
      <c r="G1057">
        <f>0.645238476461539*(0.3)</f>
        <v>0.19357154293846154</v>
      </c>
      <c r="H1057">
        <f>1.07539746076923*(0.3)</f>
        <v>0.32261923823076927</v>
      </c>
      <c r="I1057">
        <f>1.07539746076923*(0.3)</f>
        <v>0.32261923823076927</v>
      </c>
      <c r="J1057">
        <f>-0.215079492153846*(0.3)</f>
        <v>-6.4523847646153834E-2</v>
      </c>
      <c r="K1057">
        <f>1.07539746076923*(0.3)</f>
        <v>0.32261923823076927</v>
      </c>
      <c r="L1057">
        <f>0.526944755776923*(0.3)</f>
        <v>0.15808342673307693</v>
      </c>
      <c r="M1057">
        <f>1.18293720684615*(0.3)</f>
        <v>0.35488116205384623</v>
      </c>
      <c r="N1057">
        <f>1.07539746076923*(0.3)</f>
        <v>0.32261923823076927</v>
      </c>
    </row>
    <row r="1058" spans="1:14" x14ac:dyDescent="0.25">
      <c r="A1058">
        <f>2.207016468*(0.3)</f>
        <v>0.66210494040000001</v>
      </c>
      <c r="B1058">
        <f>-0.169770497538462*(0.3)</f>
        <v>-5.093114926153846E-2</v>
      </c>
      <c r="C1058">
        <f>-0.509311492615385*(0.3)</f>
        <v>-0.1527934477846154</v>
      </c>
      <c r="D1058">
        <f>-0.169770497538462*(0.3)</f>
        <v>-5.093114926153846E-2</v>
      </c>
      <c r="E1058">
        <f>-0.169770497538462*(0.3)</f>
        <v>-5.093114926153846E-2</v>
      </c>
      <c r="F1058">
        <f>-0.169770497538462*(0.3)</f>
        <v>-5.093114926153846E-2</v>
      </c>
      <c r="G1058">
        <f>-0.101862298523077*(0.3)</f>
        <v>-3.0558689556923074E-2</v>
      </c>
      <c r="H1058">
        <f>-0.169770497538462*(0.3)</f>
        <v>-5.093114926153846E-2</v>
      </c>
      <c r="I1058">
        <f>-0.169770497538462*(0.3)</f>
        <v>-5.093114926153846E-2</v>
      </c>
      <c r="J1058">
        <f>0.0339540995076923*(0.3)</f>
        <v>1.0186229852307689E-2</v>
      </c>
      <c r="K1058">
        <f>-0.169770497538462*(0.3)</f>
        <v>-5.093114926153846E-2</v>
      </c>
      <c r="L1058">
        <f>-0.0831875437938462*(0.3)</f>
        <v>-2.4956263138153845E-2</v>
      </c>
      <c r="M1058">
        <f>-0.186747547292308*(0.3)</f>
        <v>-5.6024264187692317E-2</v>
      </c>
      <c r="N1058">
        <f>-0.169770497538462*(0.3)</f>
        <v>-5.093114926153846E-2</v>
      </c>
    </row>
    <row r="1059" spans="1:14" x14ac:dyDescent="0.25">
      <c r="A1059">
        <f>-24.09916481*(0.3)</f>
        <v>-7.2297494430000002</v>
      </c>
      <c r="B1059">
        <f>1.85378190846154*(0.3)</f>
        <v>0.55613457253846155</v>
      </c>
      <c r="C1059">
        <f>5.56134572538462*(0.3)</f>
        <v>1.6684037176153848</v>
      </c>
      <c r="D1059">
        <f>1.85378190846154*(0.3)</f>
        <v>0.55613457253846155</v>
      </c>
      <c r="E1059">
        <f>1.85378190846154*(0.3)</f>
        <v>0.55613457253846155</v>
      </c>
      <c r="F1059">
        <f>1.85378190846154*(0.3)</f>
        <v>0.55613457253846155</v>
      </c>
      <c r="G1059">
        <f>1.11226914507692*(0.3)</f>
        <v>0.33368074352307692</v>
      </c>
      <c r="H1059">
        <f>1.85378190846154*(0.3)</f>
        <v>0.55613457253846155</v>
      </c>
      <c r="I1059">
        <f>1.85378190846154*(0.3)</f>
        <v>0.55613457253846155</v>
      </c>
      <c r="J1059">
        <f>-0.370756381692308*(0.3)</f>
        <v>-0.11122691450769229</v>
      </c>
      <c r="K1059">
        <f>1.85378190846154*(0.3)</f>
        <v>0.55613457253846155</v>
      </c>
      <c r="L1059">
        <f>0.908353135146154*(0.3)</f>
        <v>0.27250594054384614</v>
      </c>
      <c r="M1059">
        <f>2.03916009930769*(0.3)</f>
        <v>0.6117480297923078</v>
      </c>
      <c r="N1059">
        <f>1.85378190846154*(0.3)</f>
        <v>0.55613457253846155</v>
      </c>
    </row>
    <row r="1060" spans="1:14" x14ac:dyDescent="0.25">
      <c r="A1060">
        <f>2.241668975*(0.3)</f>
        <v>0.6725006925</v>
      </c>
      <c r="B1060">
        <f>-0.172436075*(0.3)</f>
        <v>-5.1730822499999995E-2</v>
      </c>
      <c r="C1060">
        <f>-0.517308225*(0.3)</f>
        <v>-0.15519246749999999</v>
      </c>
      <c r="D1060">
        <f>-0.172436075*(0.3)</f>
        <v>-5.1730822499999995E-2</v>
      </c>
      <c r="E1060">
        <f>-0.172436075*(0.3)</f>
        <v>-5.1730822499999995E-2</v>
      </c>
      <c r="F1060">
        <f>-0.172436075*(0.3)</f>
        <v>-5.1730822499999995E-2</v>
      </c>
      <c r="G1060">
        <f>-0.103461645*(0.3)</f>
        <v>-3.1038493499999997E-2</v>
      </c>
      <c r="H1060">
        <f>-0.172436075*(0.3)</f>
        <v>-5.1730822499999995E-2</v>
      </c>
      <c r="I1060">
        <f>-0.172436075*(0.3)</f>
        <v>-5.1730822499999995E-2</v>
      </c>
      <c r="J1060">
        <f>0.034487215*(0.3)</f>
        <v>1.0346164499999996E-2</v>
      </c>
      <c r="K1060">
        <f>-0.172436075*(0.3)</f>
        <v>-5.1730822499999995E-2</v>
      </c>
      <c r="L1060">
        <f>-0.08449367675*(0.3)</f>
        <v>-2.5348103024999999E-2</v>
      </c>
      <c r="M1060">
        <f>-0.1896796825*(0.3)</f>
        <v>-5.6903904749999998E-2</v>
      </c>
      <c r="N1060">
        <f>-0.172436075*(0.3)</f>
        <v>-5.1730822499999995E-2</v>
      </c>
    </row>
    <row r="1061" spans="1:14" x14ac:dyDescent="0.25">
      <c r="A1061">
        <f>-32.09960831*(0.3)</f>
        <v>-9.6298824930000002</v>
      </c>
      <c r="B1061">
        <f>2.46920063923077*(0.3)</f>
        <v>0.7407601917692308</v>
      </c>
      <c r="C1061">
        <f>7.40760191769231*(0.3)</f>
        <v>2.2222805753076926</v>
      </c>
      <c r="D1061">
        <f>2.46920063923077*(0.3)</f>
        <v>0.7407601917692308</v>
      </c>
      <c r="E1061">
        <f>2.46920063923077*(0.3)</f>
        <v>0.7407601917692308</v>
      </c>
      <c r="F1061">
        <f>2.46920063923077*(0.3)</f>
        <v>0.7407601917692308</v>
      </c>
      <c r="G1061">
        <f>1.48152038353846*(0.3)</f>
        <v>0.44445611506153848</v>
      </c>
      <c r="H1061">
        <f>2.46920063923077*(0.3)</f>
        <v>0.7407601917692308</v>
      </c>
      <c r="I1061">
        <f>2.46920063923077*(0.3)</f>
        <v>0.7407601917692308</v>
      </c>
      <c r="J1061">
        <f>-0.493840127846154*(0.3)</f>
        <v>-0.14815203835384613</v>
      </c>
      <c r="K1061">
        <f>2.46920063923077*(0.3)</f>
        <v>0.7407601917692308</v>
      </c>
      <c r="L1061">
        <f>1.20990831322308*(0.3)</f>
        <v>0.3629724939669231</v>
      </c>
      <c r="M1061">
        <f>2.71612070315385*(0.3)</f>
        <v>0.81483621094615399</v>
      </c>
      <c r="N1061">
        <f>2.46920063923077*(0.3)</f>
        <v>0.7407601917692308</v>
      </c>
    </row>
    <row r="1062" spans="1:14" x14ac:dyDescent="0.25">
      <c r="A1062">
        <f>-0.243684529*(0.3)</f>
        <v>-7.3105358699999998E-2</v>
      </c>
      <c r="B1062">
        <f>0.0187449637692308*(0.3)</f>
        <v>5.6234891307692303E-3</v>
      </c>
      <c r="C1062">
        <f>0.0562348913076923*(0.3)</f>
        <v>1.6870467392307693E-2</v>
      </c>
      <c r="D1062">
        <f>0.0187449637692308*(0.3)</f>
        <v>5.6234891307692303E-3</v>
      </c>
      <c r="E1062">
        <f>0.0187449637692308*(0.3)</f>
        <v>5.6234891307692303E-3</v>
      </c>
      <c r="F1062">
        <f>0.0187449637692308*(0.3)</f>
        <v>5.6234891307692303E-3</v>
      </c>
      <c r="G1062">
        <f>0.0112469782615385*(0.3)</f>
        <v>3.3740934784615381E-3</v>
      </c>
      <c r="H1062">
        <f>0.0187449637692308*(0.3)</f>
        <v>5.6234891307692303E-3</v>
      </c>
      <c r="I1062">
        <f>0.0187449637692308*(0.3)</f>
        <v>5.6234891307692303E-3</v>
      </c>
      <c r="J1062">
        <f>-0.00374899275384615*(0.3)</f>
        <v>-1.1246978261538459E-3</v>
      </c>
      <c r="K1062">
        <f>0.0187449637692308*(0.3)</f>
        <v>5.6234891307692303E-3</v>
      </c>
      <c r="L1062">
        <f>0.00918503224692308*(0.3)</f>
        <v>2.7555096740769229E-3</v>
      </c>
      <c r="M1062">
        <f>0.0206194601461538*(0.3)</f>
        <v>6.1858380438461541E-3</v>
      </c>
      <c r="N1062">
        <f>0.0187449637692308*(0.3)</f>
        <v>5.6234891307692303E-3</v>
      </c>
    </row>
    <row r="1063" spans="1:14" x14ac:dyDescent="0.25">
      <c r="A1063">
        <f>-44.93225086*(0.3)</f>
        <v>-13.479675258</v>
      </c>
      <c r="B1063">
        <f>3.45632698923077*(0.3)</f>
        <v>1.0368980967692307</v>
      </c>
      <c r="C1063">
        <f>10.3689809676923*(0.3)</f>
        <v>3.1106942903076926</v>
      </c>
      <c r="D1063">
        <f>3.45632698923077*(0.3)</f>
        <v>1.0368980967692307</v>
      </c>
      <c r="E1063">
        <f>3.45632698923077*(0.3)</f>
        <v>1.0368980967692307</v>
      </c>
      <c r="F1063">
        <f>3.45632698923077*(0.3)</f>
        <v>1.0368980967692307</v>
      </c>
      <c r="G1063">
        <f>2.07379619353846*(0.3)</f>
        <v>0.62213885806153846</v>
      </c>
      <c r="H1063">
        <f>3.45632698923077*(0.3)</f>
        <v>1.0368980967692307</v>
      </c>
      <c r="I1063">
        <f>3.45632698923077*(0.3)</f>
        <v>1.0368980967692307</v>
      </c>
      <c r="J1063">
        <f>-0.691265397846154*(0.3)</f>
        <v>-0.20737961935384611</v>
      </c>
      <c r="K1063">
        <f>3.45632698923077*(0.3)</f>
        <v>1.0368980967692307</v>
      </c>
      <c r="L1063">
        <f>1.69360022472308*(0.3)</f>
        <v>0.50808006741692313</v>
      </c>
      <c r="M1063">
        <f>3.80195968815385*(0.3)</f>
        <v>1.1405879064461539</v>
      </c>
      <c r="N1063">
        <f>3.45632698923077*(0.3)</f>
        <v>1.0368980967692307</v>
      </c>
    </row>
    <row r="1064" spans="1:14" x14ac:dyDescent="0.25">
      <c r="A1064">
        <f>2.007683822*(0.3)</f>
        <v>0.60230514660000001</v>
      </c>
      <c r="B1064">
        <f>-0.154437217076923*(0.3)</f>
        <v>-4.6331165123076924E-2</v>
      </c>
      <c r="C1064">
        <f>-0.463311651230769*(0.3)</f>
        <v>-0.13899349536923078</v>
      </c>
      <c r="D1064">
        <f>-0.154437217076923*(0.3)</f>
        <v>-4.6331165123076924E-2</v>
      </c>
      <c r="E1064">
        <f>-0.154437217076923*(0.3)</f>
        <v>-4.6331165123076924E-2</v>
      </c>
      <c r="F1064">
        <f>-0.154437217076923*(0.3)</f>
        <v>-4.6331165123076924E-2</v>
      </c>
      <c r="G1064">
        <f>-0.0926623302461538*(0.3)</f>
        <v>-2.7798699073846155E-2</v>
      </c>
      <c r="H1064">
        <f>-0.154437217076923*(0.3)</f>
        <v>-4.6331165123076924E-2</v>
      </c>
      <c r="I1064">
        <f>-0.154437217076923*(0.3)</f>
        <v>-4.6331165123076924E-2</v>
      </c>
      <c r="J1064">
        <f>0.0308874434153846*(0.3)</f>
        <v>9.2662330246153831E-3</v>
      </c>
      <c r="K1064">
        <f>-0.154437217076923*(0.3)</f>
        <v>-4.6331165123076924E-2</v>
      </c>
      <c r="L1064">
        <f>-0.0756742363676923*(0.3)</f>
        <v>-2.2702270910307694E-2</v>
      </c>
      <c r="M1064">
        <f>-0.169880938784615*(0.3)</f>
        <v>-5.096428163538462E-2</v>
      </c>
      <c r="N1064">
        <f>-0.154437217076923*(0.3)</f>
        <v>-4.6331165123076924E-2</v>
      </c>
    </row>
    <row r="1065" spans="1:14" x14ac:dyDescent="0.25">
      <c r="A1065">
        <f>-52.38679119*(0.3)</f>
        <v>-15.716037356999998</v>
      </c>
      <c r="B1065">
        <f>4.02975316846154*(0.3)</f>
        <v>1.2089259505384615</v>
      </c>
      <c r="C1065">
        <f>12.0892595053846*(0.3)</f>
        <v>3.6267778516153841</v>
      </c>
      <c r="D1065">
        <f>4.02975316846154*(0.3)</f>
        <v>1.2089259505384615</v>
      </c>
      <c r="E1065">
        <f>4.02975316846154*(0.3)</f>
        <v>1.2089259505384615</v>
      </c>
      <c r="F1065">
        <f>4.02975316846154*(0.3)</f>
        <v>1.2089259505384615</v>
      </c>
      <c r="G1065">
        <f>2.41785190107692*(0.3)</f>
        <v>0.72535557032307685</v>
      </c>
      <c r="H1065">
        <f>4.02975316846154*(0.3)</f>
        <v>1.2089259505384615</v>
      </c>
      <c r="I1065">
        <f>4.02975316846154*(0.3)</f>
        <v>1.2089259505384615</v>
      </c>
      <c r="J1065">
        <f>-0.805950633692307*(0.3)</f>
        <v>-0.24178519010769223</v>
      </c>
      <c r="K1065">
        <f>4.02975316846154*(0.3)</f>
        <v>1.2089259505384615</v>
      </c>
      <c r="L1065">
        <f>1.97457905254615*(0.3)</f>
        <v>0.59237371576384612</v>
      </c>
      <c r="M1065">
        <f>4.43272848530769*(0.3)</f>
        <v>1.3298185455923077</v>
      </c>
      <c r="N1065">
        <f>4.02975316846154*(0.3)</f>
        <v>1.2089259505384615</v>
      </c>
    </row>
    <row r="1066" spans="1:14" x14ac:dyDescent="0.25">
      <c r="A1066">
        <f>-0.24783575*(0.3)</f>
        <v>-7.4350724999999993E-2</v>
      </c>
      <c r="B1066">
        <f>0.0190642884615385*(0.3)</f>
        <v>5.7192865384615389E-3</v>
      </c>
      <c r="C1066">
        <f>0.0571928653846154*(0.3)</f>
        <v>1.7157859615384616E-2</v>
      </c>
      <c r="D1066">
        <f>0.0190642884615385*(0.3)</f>
        <v>5.7192865384615389E-3</v>
      </c>
      <c r="E1066">
        <f>0.0190642884615385*(0.3)</f>
        <v>5.7192865384615389E-3</v>
      </c>
      <c r="F1066">
        <f>0.0190642884615385*(0.3)</f>
        <v>5.7192865384615389E-3</v>
      </c>
      <c r="G1066">
        <f>0.0114385730769231*(0.3)</f>
        <v>3.4315719230769231E-3</v>
      </c>
      <c r="H1066">
        <f>0.0190642884615385*(0.3)</f>
        <v>5.7192865384615389E-3</v>
      </c>
      <c r="I1066">
        <f>0.0190642884615385*(0.3)</f>
        <v>5.7192865384615389E-3</v>
      </c>
      <c r="J1066">
        <f>-0.00381285769230769*(0.3)</f>
        <v>-1.1438573076923075E-3</v>
      </c>
      <c r="K1066">
        <f>0.0190642884615385*(0.3)</f>
        <v>5.7192865384615389E-3</v>
      </c>
      <c r="L1066">
        <f>0.00934150134615385*(0.3)</f>
        <v>2.8024504038461542E-3</v>
      </c>
      <c r="M1066">
        <f>0.0209707173076923*(0.3)</f>
        <v>6.2912151923076925E-3</v>
      </c>
      <c r="N1066">
        <f>0.0190642884615385*(0.3)</f>
        <v>5.7192865384615389E-3</v>
      </c>
    </row>
    <row r="1067" spans="1:14" x14ac:dyDescent="0.25">
      <c r="A1067">
        <f>-65.31541792*(0.3)</f>
        <v>-19.594625376</v>
      </c>
      <c r="B1067">
        <f>5.02426291692308*(0.3)</f>
        <v>1.507278875076923</v>
      </c>
      <c r="C1067">
        <f>15.0727887507692*(0.3)</f>
        <v>4.5218366252307689</v>
      </c>
      <c r="D1067">
        <f>5.02426291692308*(0.3)</f>
        <v>1.507278875076923</v>
      </c>
      <c r="E1067">
        <f>5.02426291692308*(0.3)</f>
        <v>1.507278875076923</v>
      </c>
      <c r="F1067">
        <f>5.02426291692308*(0.3)</f>
        <v>1.507278875076923</v>
      </c>
      <c r="G1067">
        <f>3.01455775015385*(0.3)</f>
        <v>0.9043673250461538</v>
      </c>
      <c r="H1067">
        <f>5.02426291692308*(0.3)</f>
        <v>1.507278875076923</v>
      </c>
      <c r="I1067">
        <f>5.02426291692308*(0.3)</f>
        <v>1.507278875076923</v>
      </c>
      <c r="J1067">
        <f>-1.00485258338462*(0.3)</f>
        <v>-0.30145577501538451</v>
      </c>
      <c r="K1067">
        <f>5.02426291692308*(0.3)</f>
        <v>1.507278875076923</v>
      </c>
      <c r="L1067">
        <f>2.46188882929231*(0.3)</f>
        <v>0.73856664878769229</v>
      </c>
      <c r="M1067">
        <f>5.52668920861539*(0.3)</f>
        <v>1.6580067625846155</v>
      </c>
      <c r="N1067">
        <f>5.02426291692308*(0.3)</f>
        <v>1.507278875076923</v>
      </c>
    </row>
    <row r="1068" spans="1:14" x14ac:dyDescent="0.25">
      <c r="A1068">
        <f>-0.610396738*(0.3)</f>
        <v>-0.1831190214</v>
      </c>
      <c r="B1068">
        <f>0.0469535952307692*(0.3)</f>
        <v>1.408607856923077E-2</v>
      </c>
      <c r="C1068">
        <f>0.140860785692308*(0.3)</f>
        <v>4.2258235707692306E-2</v>
      </c>
      <c r="D1068">
        <f>0.0469535952307692*(0.3)</f>
        <v>1.408607856923077E-2</v>
      </c>
      <c r="E1068">
        <f>0.0469535952307692*(0.3)</f>
        <v>1.408607856923077E-2</v>
      </c>
      <c r="F1068">
        <f>0.0469535952307692*(0.3)</f>
        <v>1.408607856923077E-2</v>
      </c>
      <c r="G1068">
        <f>0.0281721571384615*(0.3)</f>
        <v>8.4516471415384611E-3</v>
      </c>
      <c r="H1068">
        <f>0.0469535952307692*(0.3)</f>
        <v>1.408607856923077E-2</v>
      </c>
      <c r="I1068">
        <f>0.0469535952307692*(0.3)</f>
        <v>1.408607856923077E-2</v>
      </c>
      <c r="J1068">
        <f>-0.00939071904615385*(0.3)</f>
        <v>-2.8172157138461533E-3</v>
      </c>
      <c r="K1068">
        <f>0.0469535952307692*(0.3)</f>
        <v>1.408607856923077E-2</v>
      </c>
      <c r="L1068">
        <f>0.0230072616630769*(0.3)</f>
        <v>6.9021784989230783E-3</v>
      </c>
      <c r="M1068">
        <f>0.0516489547538462*(0.3)</f>
        <v>1.5494686426153849E-2</v>
      </c>
      <c r="N1068">
        <f>0.0469535952307692*(0.3)</f>
        <v>1.408607856923077E-2</v>
      </c>
    </row>
    <row r="1069" spans="1:14" x14ac:dyDescent="0.25">
      <c r="A1069">
        <f>-71.45778188*(0.3)</f>
        <v>-21.437334564</v>
      </c>
      <c r="B1069">
        <f>5.49675245230769*(0.3)</f>
        <v>1.6490257356923077</v>
      </c>
      <c r="C1069">
        <f>16.4902573569231*(0.3)</f>
        <v>4.9470772070769229</v>
      </c>
      <c r="D1069">
        <f>5.49675245230769*(0.3)</f>
        <v>1.6490257356923077</v>
      </c>
      <c r="E1069">
        <f>5.49675245230769*(0.3)</f>
        <v>1.6490257356923077</v>
      </c>
      <c r="F1069">
        <f>5.49675245230769*(0.3)</f>
        <v>1.6490257356923077</v>
      </c>
      <c r="G1069">
        <f>3.29805147138462*(0.3)</f>
        <v>0.98941544141538462</v>
      </c>
      <c r="H1069">
        <f>5.49675245230769*(0.3)</f>
        <v>1.6490257356923077</v>
      </c>
      <c r="I1069">
        <f>5.49675245230769*(0.3)</f>
        <v>1.6490257356923077</v>
      </c>
      <c r="J1069">
        <f>-1.09935049046154*(0.3)</f>
        <v>-0.32980514713846149</v>
      </c>
      <c r="K1069">
        <f>5.49675245230769*(0.3)</f>
        <v>1.6490257356923077</v>
      </c>
      <c r="L1069">
        <f>2.69340870163077*(0.3)</f>
        <v>0.80802261048923074</v>
      </c>
      <c r="M1069">
        <f>6.04642769753846*(0.3)</f>
        <v>1.8139283092615386</v>
      </c>
      <c r="N1069">
        <f>5.49675245230769*(0.3)</f>
        <v>1.6490257356923077</v>
      </c>
    </row>
    <row r="1070" spans="1:14" x14ac:dyDescent="0.25">
      <c r="A1070">
        <f>0.838713339*(0.3)</f>
        <v>0.25161400169999998</v>
      </c>
      <c r="B1070">
        <f>-0.0645164106923077*(0.3)</f>
        <v>-1.9354923207692307E-2</v>
      </c>
      <c r="C1070">
        <f>-0.193549232076923*(0.3)</f>
        <v>-5.8064769623076926E-2</v>
      </c>
      <c r="D1070">
        <f>-0.0645164106923077*(0.3)</f>
        <v>-1.9354923207692307E-2</v>
      </c>
      <c r="E1070">
        <f>-0.0645164106923077*(0.3)</f>
        <v>-1.9354923207692307E-2</v>
      </c>
      <c r="F1070">
        <f>-0.0645164106923077*(0.3)</f>
        <v>-1.9354923207692307E-2</v>
      </c>
      <c r="G1070">
        <f>-0.0387098464153846*(0.3)</f>
        <v>-1.1612953924615385E-2</v>
      </c>
      <c r="H1070">
        <f>-0.0645164106923077*(0.3)</f>
        <v>-1.9354923207692307E-2</v>
      </c>
      <c r="I1070">
        <f>-0.0645164106923077*(0.3)</f>
        <v>-1.9354923207692307E-2</v>
      </c>
      <c r="J1070">
        <f>0.0129032821384615*(0.3)</f>
        <v>3.8709846415384604E-3</v>
      </c>
      <c r="K1070">
        <f>-0.0645164106923077*(0.3)</f>
        <v>-1.9354923207692307E-2</v>
      </c>
      <c r="L1070">
        <f>-0.0316130412392308*(0.3)</f>
        <v>-9.4839123717692306E-3</v>
      </c>
      <c r="M1070">
        <f>-0.0709680517615385*(0.3)</f>
        <v>-2.1290415528461542E-2</v>
      </c>
      <c r="N1070">
        <f>-0.0645164106923077*(0.3)</f>
        <v>-1.9354923207692307E-2</v>
      </c>
    </row>
    <row r="1071" spans="1:14" x14ac:dyDescent="0.25">
      <c r="A1071">
        <f>-82.62340161*(0.3)</f>
        <v>-24.787020482999999</v>
      </c>
      <c r="B1071">
        <f>6.35564627769231*(0.3)</f>
        <v>1.9066938833076921</v>
      </c>
      <c r="C1071">
        <f>19.0669388330769*(0.3)</f>
        <v>5.7200816499230767</v>
      </c>
      <c r="D1071">
        <f>6.35564627769231*(0.3)</f>
        <v>1.9066938833076921</v>
      </c>
      <c r="E1071">
        <f>6.35564627769231*(0.3)</f>
        <v>1.9066938833076921</v>
      </c>
      <c r="F1071">
        <f>6.35564627769231*(0.3)</f>
        <v>1.9066938833076921</v>
      </c>
      <c r="G1071">
        <f>3.81338776661538*(0.3)</f>
        <v>1.1440163299846151</v>
      </c>
      <c r="H1071">
        <f>6.35564627769231*(0.3)</f>
        <v>1.9066938833076921</v>
      </c>
      <c r="I1071">
        <f>6.35564627769231*(0.3)</f>
        <v>1.9066938833076921</v>
      </c>
      <c r="J1071">
        <f>-1.27112925553846*(0.3)</f>
        <v>-0.38133877666153837</v>
      </c>
      <c r="K1071">
        <f>6.35564627769231*(0.3)</f>
        <v>1.9066938833076921</v>
      </c>
      <c r="L1071">
        <f>3.11426667606923*(0.3)</f>
        <v>0.93428000282076917</v>
      </c>
      <c r="M1071">
        <f>6.99121090546154*(0.3)</f>
        <v>2.0973632716384616</v>
      </c>
      <c r="N1071">
        <f>6.35564627769231*(0.3)</f>
        <v>1.9066938833076921</v>
      </c>
    </row>
    <row r="1072" spans="1:14" x14ac:dyDescent="0.25">
      <c r="A1072">
        <f>2.475250983*(0.3)</f>
        <v>0.74257529489999996</v>
      </c>
      <c r="B1072">
        <f>-0.190403921769231*(0.3)</f>
        <v>-5.712117653076923E-2</v>
      </c>
      <c r="C1072">
        <f>-0.571211765307692*(0.3)</f>
        <v>-0.17136352959230766</v>
      </c>
      <c r="D1072">
        <f>-0.190403921769231*(0.3)</f>
        <v>-5.712117653076923E-2</v>
      </c>
      <c r="E1072">
        <f>-0.190403921769231*(0.3)</f>
        <v>-5.712117653076923E-2</v>
      </c>
      <c r="F1072">
        <f>-0.190403921769231*(0.3)</f>
        <v>-5.712117653076923E-2</v>
      </c>
      <c r="G1072">
        <f>-0.114242353061538*(0.3)</f>
        <v>-3.4272705918461537E-2</v>
      </c>
      <c r="H1072">
        <f>-0.190403921769231*(0.3)</f>
        <v>-5.712117653076923E-2</v>
      </c>
      <c r="I1072">
        <f>-0.190403921769231*(0.3)</f>
        <v>-5.712117653076923E-2</v>
      </c>
      <c r="J1072">
        <f>0.0380807843538461*(0.3)</f>
        <v>1.1424235306153843E-2</v>
      </c>
      <c r="K1072">
        <f>-0.190403921769231*(0.3)</f>
        <v>-5.712117653076923E-2</v>
      </c>
      <c r="L1072">
        <f>-0.0932979216669231*(0.3)</f>
        <v>-2.7989376500076924E-2</v>
      </c>
      <c r="M1072">
        <f>-0.209444313946154*(0.3)</f>
        <v>-6.2833294183846158E-2</v>
      </c>
      <c r="N1072">
        <f>-0.190403921769231*(0.3)</f>
        <v>-5.712117653076923E-2</v>
      </c>
    </row>
    <row r="1073" spans="1:14" x14ac:dyDescent="0.25">
      <c r="A1073">
        <f>-6.635205334*(0.3)</f>
        <v>-1.9905616001999999</v>
      </c>
      <c r="B1073">
        <f>0.510400410307692*(0.3)</f>
        <v>0.15312012309230769</v>
      </c>
      <c r="C1073">
        <f>1.53120123092308*(0.3)</f>
        <v>0.45936036927692303</v>
      </c>
      <c r="D1073">
        <f>0.510400410307692*(0.3)</f>
        <v>0.15312012309230769</v>
      </c>
      <c r="E1073">
        <f>0.510400410307692*(0.3)</f>
        <v>0.15312012309230769</v>
      </c>
      <c r="F1073">
        <f>0.510400410307692*(0.3)</f>
        <v>0.15312012309230769</v>
      </c>
      <c r="G1073">
        <f>0.306240246184615*(0.3)</f>
        <v>9.1872073855384609E-2</v>
      </c>
      <c r="H1073">
        <f>0.510400410307692*(0.3)</f>
        <v>0.15312012309230769</v>
      </c>
      <c r="I1073">
        <f>0.510400410307692*(0.3)</f>
        <v>0.15312012309230769</v>
      </c>
      <c r="J1073">
        <f>-0.102080082061538*(0.3)</f>
        <v>-3.0624024618461532E-2</v>
      </c>
      <c r="K1073">
        <f>0.510400410307692*(0.3)</f>
        <v>0.15312012309230769</v>
      </c>
      <c r="L1073">
        <f>0.250096201050769*(0.3)</f>
        <v>7.5028860315230775E-2</v>
      </c>
      <c r="M1073">
        <f>0.561440451338462*(0.3)</f>
        <v>0.16843213540153848</v>
      </c>
      <c r="N1073">
        <f>0.510400410307692*(0.3)</f>
        <v>0.15312012309230769</v>
      </c>
    </row>
    <row r="1074" spans="1:14" x14ac:dyDescent="0.25">
      <c r="A1074">
        <f>1.336780868*(0.3)</f>
        <v>0.40103426039999995</v>
      </c>
      <c r="B1074">
        <f>-0.102829297538462*(0.3)</f>
        <v>-3.0848789261538459E-2</v>
      </c>
      <c r="C1074">
        <f>-0.308487892615385*(0.3)</f>
        <v>-9.2546367784615377E-2</v>
      </c>
      <c r="D1074">
        <f>-0.102829297538462*(0.3)</f>
        <v>-3.0848789261538459E-2</v>
      </c>
      <c r="E1074">
        <f>-0.102829297538462*(0.3)</f>
        <v>-3.0848789261538459E-2</v>
      </c>
      <c r="F1074">
        <f>-0.102829297538462*(0.3)</f>
        <v>-3.0848789261538459E-2</v>
      </c>
      <c r="G1074">
        <f>-0.0616975785230769*(0.3)</f>
        <v>-1.8509273556923073E-2</v>
      </c>
      <c r="H1074">
        <f>-0.102829297538462*(0.3)</f>
        <v>-3.0848789261538459E-2</v>
      </c>
      <c r="I1074">
        <f>-0.102829297538462*(0.3)</f>
        <v>-3.0848789261538459E-2</v>
      </c>
      <c r="J1074">
        <f>0.0205658595076923*(0.3)</f>
        <v>6.1697578523076911E-3</v>
      </c>
      <c r="K1074">
        <f>-0.102829297538462*(0.3)</f>
        <v>-3.0848789261538459E-2</v>
      </c>
      <c r="L1074">
        <f>-0.0503863557938462*(0.3)</f>
        <v>-1.5115906738153845E-2</v>
      </c>
      <c r="M1074">
        <f>-0.113112227292308*(0.3)</f>
        <v>-3.3933668187692306E-2</v>
      </c>
      <c r="N1074">
        <f>-0.102829297538462*(0.3)</f>
        <v>-3.0848789261538459E-2</v>
      </c>
    </row>
    <row r="1075" spans="1:14" x14ac:dyDescent="0.25">
      <c r="A1075">
        <f>-4.154613237*(0.3)</f>
        <v>-1.2463839711</v>
      </c>
      <c r="B1075">
        <f>0.319585633615385*(0.3)</f>
        <v>9.5875690084615398E-2</v>
      </c>
      <c r="C1075">
        <f>0.958756900846154*(0.3)</f>
        <v>0.28762707025384621</v>
      </c>
      <c r="D1075">
        <f>0.319585633615385*(0.3)</f>
        <v>9.5875690084615398E-2</v>
      </c>
      <c r="E1075">
        <f>0.319585633615385*(0.3)</f>
        <v>9.5875690084615398E-2</v>
      </c>
      <c r="F1075">
        <f>0.319585633615385*(0.3)</f>
        <v>9.5875690084615398E-2</v>
      </c>
      <c r="G1075">
        <f>0.191751380169231*(0.3)</f>
        <v>5.7525414050769233E-2</v>
      </c>
      <c r="H1075">
        <f>0.319585633615385*(0.3)</f>
        <v>9.5875690084615398E-2</v>
      </c>
      <c r="I1075">
        <f>0.319585633615385*(0.3)</f>
        <v>9.5875690084615398E-2</v>
      </c>
      <c r="J1075">
        <f>-0.0639171267230769*(0.3)</f>
        <v>-1.9175138016923075E-2</v>
      </c>
      <c r="K1075">
        <f>0.319585633615385*(0.3)</f>
        <v>9.5875690084615398E-2</v>
      </c>
      <c r="L1075">
        <f>0.156596960471538*(0.3)</f>
        <v>4.6979088141461546E-2</v>
      </c>
      <c r="M1075">
        <f>0.351544196976923*(0.3)</f>
        <v>0.10546325909307695</v>
      </c>
      <c r="N1075">
        <f>0.319585633615385*(0.3)</f>
        <v>9.5875690084615398E-2</v>
      </c>
    </row>
    <row r="1076" spans="1:14" x14ac:dyDescent="0.25">
      <c r="A1076">
        <f>4.400028029*(0.3)</f>
        <v>1.3200084086999999</v>
      </c>
      <c r="B1076">
        <f>-0.338463694538461*(0.3)</f>
        <v>-0.10153910836153844</v>
      </c>
      <c r="C1076">
        <f>-1.01539108361538*(0.3)</f>
        <v>-0.30461732508461536</v>
      </c>
      <c r="D1076">
        <f>-0.338463694538461*(0.3)</f>
        <v>-0.10153910836153844</v>
      </c>
      <c r="E1076">
        <f>-0.338463694538461*(0.3)</f>
        <v>-0.10153910836153844</v>
      </c>
      <c r="F1076">
        <f>-0.338463694538461*(0.3)</f>
        <v>-0.10153910836153844</v>
      </c>
      <c r="G1076">
        <f>-0.203078216723077*(0.3)</f>
        <v>-6.0923465016923063E-2</v>
      </c>
      <c r="H1076">
        <f>-0.338463694538461*(0.3)</f>
        <v>-0.10153910836153844</v>
      </c>
      <c r="I1076">
        <f>-0.338463694538461*(0.3)</f>
        <v>-0.10153910836153844</v>
      </c>
      <c r="J1076">
        <f>0.0676927389076923*(0.3)</f>
        <v>2.0307821672307685E-2</v>
      </c>
      <c r="K1076">
        <f>-0.338463694538461*(0.3)</f>
        <v>-0.10153910836153844</v>
      </c>
      <c r="L1076">
        <f>-0.165847210323846*(0.3)</f>
        <v>-4.9754163097153831E-2</v>
      </c>
      <c r="M1076">
        <f>-0.372310063992308*(0.3)</f>
        <v>-0.1116930191976923</v>
      </c>
      <c r="N1076">
        <f>-0.338463694538461*(0.3)</f>
        <v>-0.10153910836153844</v>
      </c>
    </row>
    <row r="1077" spans="1:14" x14ac:dyDescent="0.25">
      <c r="A1077">
        <f>-10.67134368*(0.3)</f>
        <v>-3.2014031039999997</v>
      </c>
      <c r="B1077">
        <f>0.820872590769231*(0.3)</f>
        <v>0.2462617772307692</v>
      </c>
      <c r="C1077">
        <f>2.46261777230769*(0.3)</f>
        <v>0.73878533169230765</v>
      </c>
      <c r="D1077">
        <f>0.820872590769231*(0.3)</f>
        <v>0.2462617772307692</v>
      </c>
      <c r="E1077">
        <f>0.820872590769231*(0.3)</f>
        <v>0.2462617772307692</v>
      </c>
      <c r="F1077">
        <f>0.820872590769231*(0.3)</f>
        <v>0.2462617772307692</v>
      </c>
      <c r="G1077">
        <f>0.492523554461538*(0.3)</f>
        <v>0.1477570663384615</v>
      </c>
      <c r="H1077">
        <f>0.820872590769231*(0.3)</f>
        <v>0.2462617772307692</v>
      </c>
      <c r="I1077">
        <f>0.820872590769231*(0.3)</f>
        <v>0.2462617772307692</v>
      </c>
      <c r="J1077">
        <f>-0.164174518153846*(0.3)</f>
        <v>-4.9252355446153827E-2</v>
      </c>
      <c r="K1077">
        <f>0.820872590769231*(0.3)</f>
        <v>0.2462617772307692</v>
      </c>
      <c r="L1077">
        <f>0.402227569476923*(0.3)</f>
        <v>0.12066827084307689</v>
      </c>
      <c r="M1077">
        <f>0.902959849846154*(0.3)</f>
        <v>0.27088795495384616</v>
      </c>
      <c r="N1077">
        <f>0.820872590769231*(0.3)</f>
        <v>0.2462617772307692</v>
      </c>
    </row>
    <row r="1078" spans="1:14" x14ac:dyDescent="0.25">
      <c r="A1078">
        <f>-0.119382456*(0.3)</f>
        <v>-3.5814736799999997E-2</v>
      </c>
      <c r="B1078">
        <f>0.00918326584615385*(0.3)</f>
        <v>2.7549797538461538E-3</v>
      </c>
      <c r="C1078">
        <f>0.0275497975384615*(0.3)</f>
        <v>8.2649392615384617E-3</v>
      </c>
      <c r="D1078">
        <f>0.00918326584615385*(0.3)</f>
        <v>2.7549797538461538E-3</v>
      </c>
      <c r="E1078">
        <f>0.00918326584615385*(0.3)</f>
        <v>2.7549797538461538E-3</v>
      </c>
      <c r="F1078">
        <f>0.00918326584615385*(0.3)</f>
        <v>2.7549797538461538E-3</v>
      </c>
      <c r="G1078">
        <f>0.00550995950769231*(0.3)</f>
        <v>1.6529878523076922E-3</v>
      </c>
      <c r="H1078">
        <f>0.00918326584615385*(0.3)</f>
        <v>2.7549797538461538E-3</v>
      </c>
      <c r="I1078">
        <f>0.00918326584615385*(0.3)</f>
        <v>2.7549797538461538E-3</v>
      </c>
      <c r="J1078">
        <f>-0.00183665316923077*(0.3)</f>
        <v>-5.5099595076923069E-4</v>
      </c>
      <c r="K1078">
        <f>0.00918326584615385*(0.3)</f>
        <v>2.7549797538461538E-3</v>
      </c>
      <c r="L1078">
        <f>0.00449980026461538*(0.3)</f>
        <v>1.3499400793846152E-3</v>
      </c>
      <c r="M1078">
        <f>0.0101015924307692*(0.3)</f>
        <v>3.0304777292307697E-3</v>
      </c>
      <c r="N1078">
        <f>0.00918326584615385*(0.3)</f>
        <v>2.7549797538461538E-3</v>
      </c>
    </row>
    <row r="1079" spans="1:14" x14ac:dyDescent="0.25">
      <c r="A1079">
        <f>-13.96720027*(0.3)</f>
        <v>-4.1901600809999993</v>
      </c>
      <c r="B1079">
        <f>1.07440002076923*(0.3)</f>
        <v>0.32232000623076923</v>
      </c>
      <c r="C1079">
        <f>3.22320006230769*(0.3)</f>
        <v>0.96696001869230774</v>
      </c>
      <c r="D1079">
        <f>1.07440002076923*(0.3)</f>
        <v>0.32232000623076923</v>
      </c>
      <c r="E1079">
        <f>1.07440002076923*(0.3)</f>
        <v>0.32232000623076923</v>
      </c>
      <c r="F1079">
        <f>1.07440002076923*(0.3)</f>
        <v>0.32232000623076923</v>
      </c>
      <c r="G1079">
        <f>0.644640012461538*(0.3)</f>
        <v>0.19339200373846152</v>
      </c>
      <c r="H1079">
        <f>1.07440002076923*(0.3)</f>
        <v>0.32232000623076923</v>
      </c>
      <c r="I1079">
        <f>1.07440002076923*(0.3)</f>
        <v>0.32232000623076923</v>
      </c>
      <c r="J1079">
        <f>-0.214880004153846*(0.3)</f>
        <v>-6.4464001246153826E-2</v>
      </c>
      <c r="K1079">
        <f>1.07440002076923*(0.3)</f>
        <v>0.32232000623076923</v>
      </c>
      <c r="L1079">
        <f>0.526456010176923*(0.3)</f>
        <v>0.15793680305307692</v>
      </c>
      <c r="M1079">
        <f>1.18184002284615*(0.3)</f>
        <v>0.35455200685384619</v>
      </c>
      <c r="N1079">
        <f>1.07440002076923*(0.3)</f>
        <v>0.32232000623076923</v>
      </c>
    </row>
    <row r="1080" spans="1:14" x14ac:dyDescent="0.25">
      <c r="A1080">
        <f>1.787289968*(0.3)</f>
        <v>0.53618699039999995</v>
      </c>
      <c r="B1080">
        <f>-0.137483843692308*(0.3)</f>
        <v>-4.1245153107692313E-2</v>
      </c>
      <c r="C1080">
        <f>-0.412451531076923*(0.3)</f>
        <v>-0.12373545932307693</v>
      </c>
      <c r="D1080">
        <f>-0.137483843692308*(0.3)</f>
        <v>-4.1245153107692313E-2</v>
      </c>
      <c r="E1080">
        <f>-0.137483843692308*(0.3)</f>
        <v>-4.1245153107692313E-2</v>
      </c>
      <c r="F1080">
        <f>-0.137483843692308*(0.3)</f>
        <v>-4.1245153107692313E-2</v>
      </c>
      <c r="G1080">
        <f>-0.0824903062153846*(0.3)</f>
        <v>-2.4747091864615389E-2</v>
      </c>
      <c r="H1080">
        <f>-0.137483843692308*(0.3)</f>
        <v>-4.1245153107692313E-2</v>
      </c>
      <c r="I1080">
        <f>-0.137483843692308*(0.3)</f>
        <v>-4.1245153107692313E-2</v>
      </c>
      <c r="J1080">
        <f>0.0274967687384615*(0.3)</f>
        <v>8.2490306215384605E-3</v>
      </c>
      <c r="K1080">
        <f>-0.137483843692308*(0.3)</f>
        <v>-4.1245153107692313E-2</v>
      </c>
      <c r="L1080">
        <f>-0.0673670834092308*(0.3)</f>
        <v>-2.021012502276923E-2</v>
      </c>
      <c r="M1080">
        <f>-0.151232228061538*(0.3)</f>
        <v>-4.5369668418461545E-2</v>
      </c>
      <c r="N1080">
        <f>-0.137483843692308*(0.3)</f>
        <v>-4.1245153107692313E-2</v>
      </c>
    </row>
    <row r="1081" spans="1:14" x14ac:dyDescent="0.25">
      <c r="A1081">
        <f>-13.93408324*(0.3)</f>
        <v>-4.1802249719999995</v>
      </c>
      <c r="B1081">
        <f>1.07185255692308*(0.3)</f>
        <v>0.32155576707692302</v>
      </c>
      <c r="C1081">
        <f>3.21555767076923*(0.3)</f>
        <v>0.96466730123076905</v>
      </c>
      <c r="D1081">
        <f>1.07185255692308*(0.3)</f>
        <v>0.32155576707692302</v>
      </c>
      <c r="E1081">
        <f>1.07185255692308*(0.3)</f>
        <v>0.32155576707692302</v>
      </c>
      <c r="F1081">
        <f>1.07185255692308*(0.3)</f>
        <v>0.32155576707692302</v>
      </c>
      <c r="G1081">
        <f>0.643111534153846*(0.3)</f>
        <v>0.19293346024615379</v>
      </c>
      <c r="H1081">
        <f>1.07185255692308*(0.3)</f>
        <v>0.32155576707692302</v>
      </c>
      <c r="I1081">
        <f>1.07185255692308*(0.3)</f>
        <v>0.32155576707692302</v>
      </c>
      <c r="J1081">
        <f>-0.214370511384615*(0.3)</f>
        <v>-6.4311153415384584E-2</v>
      </c>
      <c r="K1081">
        <f>1.07185255692308*(0.3)</f>
        <v>0.32155576707692302</v>
      </c>
      <c r="L1081">
        <f>0.525207752892308*(0.3)</f>
        <v>0.15756232586769228</v>
      </c>
      <c r="M1081">
        <f>1.17903781261538*(0.3)</f>
        <v>0.35371134378461538</v>
      </c>
      <c r="N1081">
        <f>1.07185255692308*(0.3)</f>
        <v>0.32155576707692302</v>
      </c>
    </row>
    <row r="1082" spans="1:14" x14ac:dyDescent="0.25">
      <c r="A1082">
        <f>0.27572966*(0.3)</f>
        <v>8.2718897999999999E-2</v>
      </c>
      <c r="B1082">
        <f>-0.0212099738461538*(0.3)</f>
        <v>-6.3629921538461533E-3</v>
      </c>
      <c r="C1082">
        <f>-0.0636299215384615*(0.3)</f>
        <v>-1.9088976461538457E-2</v>
      </c>
      <c r="D1082">
        <f>-0.0212099738461538*(0.3)</f>
        <v>-6.3629921538461533E-3</v>
      </c>
      <c r="E1082">
        <f>-0.0212099738461538*(0.3)</f>
        <v>-6.3629921538461533E-3</v>
      </c>
      <c r="F1082">
        <f>-0.0212099738461538*(0.3)</f>
        <v>-6.3629921538461533E-3</v>
      </c>
      <c r="G1082">
        <f>-0.0127259843076923*(0.3)</f>
        <v>-3.8177952923076916E-3</v>
      </c>
      <c r="H1082">
        <f>-0.0212099738461538*(0.3)</f>
        <v>-6.3629921538461533E-3</v>
      </c>
      <c r="I1082">
        <f>-0.0212099738461538*(0.3)</f>
        <v>-6.3629921538461533E-3</v>
      </c>
      <c r="J1082">
        <f>0.00424199476923077*(0.3)</f>
        <v>1.2725984307692304E-3</v>
      </c>
      <c r="K1082">
        <f>-0.0212099738461538*(0.3)</f>
        <v>-6.3629921538461533E-3</v>
      </c>
      <c r="L1082">
        <f>-0.0103928871846154*(0.3)</f>
        <v>-3.1178661553846149E-3</v>
      </c>
      <c r="M1082">
        <f>-0.0233309712307692*(0.3)</f>
        <v>-6.9992913692307696E-3</v>
      </c>
      <c r="N1082">
        <f>-0.0212099738461538*(0.3)</f>
        <v>-6.3629921538461533E-3</v>
      </c>
    </row>
    <row r="1083" spans="1:14" x14ac:dyDescent="0.25">
      <c r="A1083">
        <f>-16.00238797*(0.3)</f>
        <v>-4.8007163909999999</v>
      </c>
      <c r="B1083">
        <f>1.23095292076923*(0.3)</f>
        <v>0.36928587623076925</v>
      </c>
      <c r="C1083">
        <f>3.69285876230769*(0.3)</f>
        <v>1.1078576286923079</v>
      </c>
      <c r="D1083">
        <f>1.23095292076923*(0.3)</f>
        <v>0.36928587623076925</v>
      </c>
      <c r="E1083">
        <f>1.23095292076923*(0.3)</f>
        <v>0.36928587623076925</v>
      </c>
      <c r="F1083">
        <f>1.23095292076923*(0.3)</f>
        <v>0.36928587623076925</v>
      </c>
      <c r="G1083">
        <f>0.738571752461538*(0.3)</f>
        <v>0.22157152573846153</v>
      </c>
      <c r="H1083">
        <f>1.23095292076923*(0.3)</f>
        <v>0.36928587623076925</v>
      </c>
      <c r="I1083">
        <f>1.23095292076923*(0.3)</f>
        <v>0.36928587623076925</v>
      </c>
      <c r="J1083">
        <f>-0.246190584153846*(0.3)</f>
        <v>-7.3857175246153831E-2</v>
      </c>
      <c r="K1083">
        <f>1.23095292076923*(0.3)</f>
        <v>0.36928587623076925</v>
      </c>
      <c r="L1083">
        <f>0.603166931176923*(0.3)</f>
        <v>0.18095007935307691</v>
      </c>
      <c r="M1083">
        <f>1.35404821284615*(0.3)</f>
        <v>0.40621446385384624</v>
      </c>
      <c r="N1083">
        <f>1.23095292076923*(0.3)</f>
        <v>0.36928587623076925</v>
      </c>
    </row>
    <row r="1084" spans="1:14" x14ac:dyDescent="0.25">
      <c r="A1084">
        <f>2.809541457*(0.3)</f>
        <v>0.84286243709999997</v>
      </c>
      <c r="B1084">
        <f>-0.216118573615385*(0.3)</f>
        <v>-6.4835572084615378E-2</v>
      </c>
      <c r="C1084">
        <f>-0.648355720846154*(0.3)</f>
        <v>-0.19450671625384616</v>
      </c>
      <c r="D1084">
        <f>-0.216118573615385*(0.3)</f>
        <v>-6.4835572084615378E-2</v>
      </c>
      <c r="E1084">
        <f>-0.216118573615385*(0.3)</f>
        <v>-6.4835572084615378E-2</v>
      </c>
      <c r="F1084">
        <f>-0.216118573615385*(0.3)</f>
        <v>-6.4835572084615378E-2</v>
      </c>
      <c r="G1084">
        <f>-0.129671144169231*(0.3)</f>
        <v>-3.8901343250769223E-2</v>
      </c>
      <c r="H1084">
        <f>-0.216118573615385*(0.3)</f>
        <v>-6.4835572084615378E-2</v>
      </c>
      <c r="I1084">
        <f>-0.216118573615385*(0.3)</f>
        <v>-6.4835572084615378E-2</v>
      </c>
      <c r="J1084">
        <f>0.0432237147230769*(0.3)</f>
        <v>1.2967114416923074E-2</v>
      </c>
      <c r="K1084">
        <f>-0.216118573615385*(0.3)</f>
        <v>-6.4835572084615378E-2</v>
      </c>
      <c r="L1084">
        <f>-0.105898101071538*(0.3)</f>
        <v>-3.1769430321461539E-2</v>
      </c>
      <c r="M1084">
        <f>-0.237730430976923*(0.3)</f>
        <v>-7.1319129293076919E-2</v>
      </c>
      <c r="N1084">
        <f>-0.216118573615385*(0.3)</f>
        <v>-6.4835572084615378E-2</v>
      </c>
    </row>
    <row r="1085" spans="1:14" x14ac:dyDescent="0.25">
      <c r="A1085">
        <f>-21.39312588*(0.3)</f>
        <v>-6.4179377639999995</v>
      </c>
      <c r="B1085">
        <f>1.64562506769231*(0.3)</f>
        <v>0.49368752030769225</v>
      </c>
      <c r="C1085">
        <f>4.93687520307692*(0.3)</f>
        <v>1.4810625609230768</v>
      </c>
      <c r="D1085">
        <f>1.64562506769231*(0.3)</f>
        <v>0.49368752030769225</v>
      </c>
      <c r="E1085">
        <f>1.64562506769231*(0.3)</f>
        <v>0.49368752030769225</v>
      </c>
      <c r="F1085">
        <f>1.64562506769231*(0.3)</f>
        <v>0.49368752030769225</v>
      </c>
      <c r="G1085">
        <f>0.987375040615385*(0.3)</f>
        <v>0.29621251218461536</v>
      </c>
      <c r="H1085">
        <f>1.64562506769231*(0.3)</f>
        <v>0.49368752030769225</v>
      </c>
      <c r="I1085">
        <f>1.64562506769231*(0.3)</f>
        <v>0.49368752030769225</v>
      </c>
      <c r="J1085">
        <f>-0.329125013538461*(0.3)</f>
        <v>-9.8737504061538431E-2</v>
      </c>
      <c r="K1085">
        <f>1.64562506769231*(0.3)</f>
        <v>0.49368752030769225</v>
      </c>
      <c r="L1085">
        <f>0.806356283169231*(0.3)</f>
        <v>0.2419068849507692</v>
      </c>
      <c r="M1085">
        <f>1.81018757446154*(0.3)</f>
        <v>0.54305627233846154</v>
      </c>
      <c r="N1085">
        <f>1.64562506769231*(0.3)</f>
        <v>0.49368752030769225</v>
      </c>
    </row>
    <row r="1086" spans="1:14" x14ac:dyDescent="0.25">
      <c r="A1086">
        <f>-0.648972819*(0.3)</f>
        <v>-0.1946918457</v>
      </c>
      <c r="B1086">
        <f>0.0499209860769231*(0.3)</f>
        <v>1.4976295823076923E-2</v>
      </c>
      <c r="C1086">
        <f>0.149762958230769*(0.3)</f>
        <v>4.4928887469230773E-2</v>
      </c>
      <c r="D1086">
        <f>0.0499209860769231*(0.3)</f>
        <v>1.4976295823076923E-2</v>
      </c>
      <c r="E1086">
        <f>0.0499209860769231*(0.3)</f>
        <v>1.4976295823076923E-2</v>
      </c>
      <c r="F1086">
        <f>0.0499209860769231*(0.3)</f>
        <v>1.4976295823076923E-2</v>
      </c>
      <c r="G1086">
        <f>0.0299525916461538*(0.3)</f>
        <v>8.9857774938461536E-3</v>
      </c>
      <c r="H1086">
        <f>0.0499209860769231*(0.3)</f>
        <v>1.4976295823076923E-2</v>
      </c>
      <c r="I1086">
        <f>0.0499209860769231*(0.3)</f>
        <v>1.4976295823076923E-2</v>
      </c>
      <c r="J1086">
        <f>-0.00998419721538461*(0.3)</f>
        <v>-2.9952591646153839E-3</v>
      </c>
      <c r="K1086">
        <f>0.0499209860769231*(0.3)</f>
        <v>1.4976295823076923E-2</v>
      </c>
      <c r="L1086">
        <f>0.0244612831776923*(0.3)</f>
        <v>7.3383849533076922E-3</v>
      </c>
      <c r="M1086">
        <f>0.0549130846846154*(0.3)</f>
        <v>1.6473925405384619E-2</v>
      </c>
      <c r="N1086">
        <f>0.0499209860769231*(0.3)</f>
        <v>1.4976295823076923E-2</v>
      </c>
    </row>
    <row r="1087" spans="1:14" x14ac:dyDescent="0.25">
      <c r="A1087">
        <f>-23.40646729*(0.3)</f>
        <v>-7.0219401869999993</v>
      </c>
      <c r="B1087">
        <f>1.80049748384615*(0.3)</f>
        <v>0.5401492451538461</v>
      </c>
      <c r="C1087">
        <f>5.40149245153846*(0.3)</f>
        <v>1.6204477354615383</v>
      </c>
      <c r="D1087">
        <f>1.80049748384615*(0.3)</f>
        <v>0.5401492451538461</v>
      </c>
      <c r="E1087">
        <f>1.80049748384615*(0.3)</f>
        <v>0.5401492451538461</v>
      </c>
      <c r="F1087">
        <f>1.80049748384615*(0.3)</f>
        <v>0.5401492451538461</v>
      </c>
      <c r="G1087">
        <f>1.08029849030769*(0.3)</f>
        <v>0.32408954709230764</v>
      </c>
      <c r="H1087">
        <f>1.80049748384615*(0.3)</f>
        <v>0.5401492451538461</v>
      </c>
      <c r="I1087">
        <f>1.80049748384615*(0.3)</f>
        <v>0.5401492451538461</v>
      </c>
      <c r="J1087">
        <f>-0.360099496769231*(0.3)</f>
        <v>-0.1080298490307692</v>
      </c>
      <c r="K1087">
        <f>1.80049748384615*(0.3)</f>
        <v>0.5401492451538461</v>
      </c>
      <c r="L1087">
        <f>0.882243767084615*(0.3)</f>
        <v>0.26467313012538463</v>
      </c>
      <c r="M1087">
        <f>1.98054723223077*(0.3)</f>
        <v>0.5941641696692308</v>
      </c>
      <c r="N1087">
        <f>1.80049748384615*(0.3)</f>
        <v>0.5401492451538461</v>
      </c>
    </row>
    <row r="1088" spans="1:14" x14ac:dyDescent="0.25">
      <c r="A1088">
        <f>0.251653518*(0.3)</f>
        <v>7.5496055399999998E-2</v>
      </c>
      <c r="B1088">
        <f>-0.0193579629230769*(0.3)</f>
        <v>-5.8073888769230768E-3</v>
      </c>
      <c r="C1088">
        <f>-0.0580738887692308*(0.3)</f>
        <v>-1.7422166630769228E-2</v>
      </c>
      <c r="D1088">
        <f>-0.0193579629230769*(0.3)</f>
        <v>-5.8073888769230768E-3</v>
      </c>
      <c r="E1088">
        <f>-0.0193579629230769*(0.3)</f>
        <v>-5.8073888769230768E-3</v>
      </c>
      <c r="F1088">
        <f>-0.0193579629230769*(0.3)</f>
        <v>-5.8073888769230768E-3</v>
      </c>
      <c r="G1088">
        <f>-0.0116147777538462*(0.3)</f>
        <v>-3.484433326153846E-3</v>
      </c>
      <c r="H1088">
        <f>-0.0193579629230769*(0.3)</f>
        <v>-5.8073888769230768E-3</v>
      </c>
      <c r="I1088">
        <f>-0.0193579629230769*(0.3)</f>
        <v>-5.8073888769230768E-3</v>
      </c>
      <c r="J1088">
        <f>0.00387159258461538*(0.3)</f>
        <v>1.1614777753846152E-3</v>
      </c>
      <c r="K1088">
        <f>-0.0193579629230769*(0.3)</f>
        <v>-5.8073888769230768E-3</v>
      </c>
      <c r="L1088">
        <f>-0.00948540183230769*(0.3)</f>
        <v>-2.8456205496923078E-3</v>
      </c>
      <c r="M1088">
        <f>-0.0212937592153846*(0.3)</f>
        <v>-6.3881277646153853E-3</v>
      </c>
      <c r="N1088">
        <f>-0.0193579629230769*(0.3)</f>
        <v>-5.8073888769230768E-3</v>
      </c>
    </row>
    <row r="1089" spans="1:14" x14ac:dyDescent="0.25">
      <c r="A1089">
        <f>-2.787216938*(0.3)</f>
        <v>-0.8361650813999999</v>
      </c>
      <c r="B1089">
        <f>0.214401302923077*(0.3)</f>
        <v>6.4320390876923067E-2</v>
      </c>
      <c r="C1089">
        <f>0.643203908769231*(0.3)</f>
        <v>0.1929611726307692</v>
      </c>
      <c r="D1089">
        <f>0.214401302923077*(0.3)</f>
        <v>6.4320390876923067E-2</v>
      </c>
      <c r="E1089">
        <f>0.214401302923077*(0.3)</f>
        <v>6.4320390876923067E-2</v>
      </c>
      <c r="F1089">
        <f>0.214401302923077*(0.3)</f>
        <v>6.4320390876923067E-2</v>
      </c>
      <c r="G1089">
        <f>0.128640781753846*(0.3)</f>
        <v>3.8592234526153839E-2</v>
      </c>
      <c r="H1089">
        <f>0.214401302923077*(0.3)</f>
        <v>6.4320390876923067E-2</v>
      </c>
      <c r="I1089">
        <f>0.214401302923077*(0.3)</f>
        <v>6.4320390876923067E-2</v>
      </c>
      <c r="J1089">
        <f>-0.0428802605846154*(0.3)</f>
        <v>-1.2864078175384612E-2</v>
      </c>
      <c r="K1089">
        <f>0.214401302923077*(0.3)</f>
        <v>6.4320390876923067E-2</v>
      </c>
      <c r="L1089">
        <f>0.105056638432308*(0.3)</f>
        <v>3.1516991529692305E-2</v>
      </c>
      <c r="M1089">
        <f>0.235841433215385*(0.3)</f>
        <v>7.0752429964615379E-2</v>
      </c>
      <c r="N1089">
        <f>0.214401302923077*(0.3)</f>
        <v>6.4320390876923067E-2</v>
      </c>
    </row>
    <row r="1090" spans="1:14" x14ac:dyDescent="0.25">
      <c r="A1090">
        <f>-1.140326042*(0.3)</f>
        <v>-0.3420978126</v>
      </c>
      <c r="B1090">
        <f>0.0877173878461538*(0.3)</f>
        <v>2.6315216353846153E-2</v>
      </c>
      <c r="C1090">
        <f>0.263152163538462*(0.3)</f>
        <v>7.8945649061538462E-2</v>
      </c>
      <c r="D1090">
        <f>0.0877173878461538*(0.3)</f>
        <v>2.6315216353846153E-2</v>
      </c>
      <c r="E1090">
        <f>0.0877173878461538*(0.3)</f>
        <v>2.6315216353846153E-2</v>
      </c>
      <c r="F1090">
        <f>0.0877173878461538*(0.3)</f>
        <v>2.6315216353846153E-2</v>
      </c>
      <c r="G1090">
        <f>0.0526304327076923*(0.3)</f>
        <v>1.5789129812307692E-2</v>
      </c>
      <c r="H1090">
        <f>0.0877173878461538*(0.3)</f>
        <v>2.6315216353846153E-2</v>
      </c>
      <c r="I1090">
        <f>0.0877173878461538*(0.3)</f>
        <v>2.6315216353846153E-2</v>
      </c>
      <c r="J1090">
        <f>-0.0175434775692308*(0.3)</f>
        <v>-5.2630432707692293E-3</v>
      </c>
      <c r="K1090">
        <f>0.0877173878461538*(0.3)</f>
        <v>2.6315216353846153E-2</v>
      </c>
      <c r="L1090">
        <f>0.0429815200446154*(0.3)</f>
        <v>1.2894456013384615E-2</v>
      </c>
      <c r="M1090">
        <f>0.0964891266307692*(0.3)</f>
        <v>2.894673798923077E-2</v>
      </c>
      <c r="N1090">
        <f>0.0877173878461538*(0.3)</f>
        <v>2.6315216353846153E-2</v>
      </c>
    </row>
    <row r="1091" spans="1:14" x14ac:dyDescent="0.25">
      <c r="A1091">
        <f>-5.310991729*(0.3)</f>
        <v>-1.5932975187</v>
      </c>
      <c r="B1091">
        <f>0.408537825307692*(0.3)</f>
        <v>0.12256134759230769</v>
      </c>
      <c r="C1091">
        <f>1.22561347592308*(0.3)</f>
        <v>0.36768404277692307</v>
      </c>
      <c r="D1091">
        <f>0.408537825307692*(0.3)</f>
        <v>0.12256134759230769</v>
      </c>
      <c r="E1091">
        <f>0.408537825307692*(0.3)</f>
        <v>0.12256134759230769</v>
      </c>
      <c r="F1091">
        <f>0.408537825307692*(0.3)</f>
        <v>0.12256134759230769</v>
      </c>
      <c r="G1091">
        <f>0.245122695184615*(0.3)</f>
        <v>7.3536808555384608E-2</v>
      </c>
      <c r="H1091">
        <f>0.408537825307692*(0.3)</f>
        <v>0.12256134759230769</v>
      </c>
      <c r="I1091">
        <f>0.408537825307692*(0.3)</f>
        <v>0.12256134759230769</v>
      </c>
      <c r="J1091">
        <f>-0.0817075650615385*(0.3)</f>
        <v>-2.4512269518461534E-2</v>
      </c>
      <c r="K1091">
        <f>0.408537825307692*(0.3)</f>
        <v>0.12256134759230769</v>
      </c>
      <c r="L1091">
        <f>0.200183534400769*(0.3)</f>
        <v>6.0055060320230773E-2</v>
      </c>
      <c r="M1091">
        <f>0.449391607838462*(0.3)</f>
        <v>0.13481748235153848</v>
      </c>
      <c r="N1091">
        <f>0.408537825307692*(0.3)</f>
        <v>0.12256134759230769</v>
      </c>
    </row>
    <row r="1092" spans="1:14" x14ac:dyDescent="0.25">
      <c r="A1092">
        <f>0.173612677*(0.3)</f>
        <v>5.2083803099999999E-2</v>
      </c>
      <c r="B1092">
        <f>-0.0133548213076923*(0.3)</f>
        <v>-4.0064463923076919E-3</v>
      </c>
      <c r="C1092">
        <f>-0.0400644639230769*(0.3)</f>
        <v>-1.2019339176923076E-2</v>
      </c>
      <c r="D1092">
        <f>-0.0133548213076923*(0.3)</f>
        <v>-4.0064463923076919E-3</v>
      </c>
      <c r="E1092">
        <f>-0.0133548213076923*(0.3)</f>
        <v>-4.0064463923076919E-3</v>
      </c>
      <c r="F1092">
        <f>-0.0133548213076923*(0.3)</f>
        <v>-4.0064463923076919E-3</v>
      </c>
      <c r="G1092">
        <f>-0.00801289278461538*(0.3)</f>
        <v>-2.4038678353846149E-3</v>
      </c>
      <c r="H1092">
        <f>-0.0133548213076923*(0.3)</f>
        <v>-4.0064463923076919E-3</v>
      </c>
      <c r="I1092">
        <f>-0.0133548213076923*(0.3)</f>
        <v>-4.0064463923076919E-3</v>
      </c>
      <c r="J1092">
        <f>0.00267096426153846*(0.3)</f>
        <v>8.0128927846153818E-4</v>
      </c>
      <c r="K1092">
        <f>-0.0133548213076923*(0.3)</f>
        <v>-4.0064463923076919E-3</v>
      </c>
      <c r="L1092">
        <f>-0.00654386244076923*(0.3)</f>
        <v>-1.9631587322307691E-3</v>
      </c>
      <c r="M1092">
        <f>-0.0146903034384615*(0.3)</f>
        <v>-4.4070910315384612E-3</v>
      </c>
      <c r="N1092">
        <f>-0.0133548213076923*(0.3)</f>
        <v>-4.0064463923076919E-3</v>
      </c>
    </row>
    <row r="1093" spans="1:14" x14ac:dyDescent="0.25">
      <c r="A1093">
        <f>-2.594624538*(0.3)</f>
        <v>-0.77838736139999998</v>
      </c>
      <c r="B1093">
        <f>0.199586502923077*(0.3)</f>
        <v>5.987595087692308E-2</v>
      </c>
      <c r="C1093">
        <f>0.598759508769231*(0.3)</f>
        <v>0.17962785263076922</v>
      </c>
      <c r="D1093">
        <f>0.199586502923077*(0.3)</f>
        <v>5.987595087692308E-2</v>
      </c>
      <c r="E1093">
        <f>0.199586502923077*(0.3)</f>
        <v>5.987595087692308E-2</v>
      </c>
      <c r="F1093">
        <f>0.199586502923077*(0.3)</f>
        <v>5.987595087692308E-2</v>
      </c>
      <c r="G1093">
        <f>0.119751901753846*(0.3)</f>
        <v>3.5925570526153847E-2</v>
      </c>
      <c r="H1093">
        <f>0.199586502923077*(0.3)</f>
        <v>5.987595087692308E-2</v>
      </c>
      <c r="I1093">
        <f>0.199586502923077*(0.3)</f>
        <v>5.987595087692308E-2</v>
      </c>
      <c r="J1093">
        <f>-0.0399173005846154*(0.3)</f>
        <v>-1.1975190175384613E-2</v>
      </c>
      <c r="K1093">
        <f>0.199586502923077*(0.3)</f>
        <v>5.987595087692308E-2</v>
      </c>
      <c r="L1093">
        <f>0.0977973864323077*(0.3)</f>
        <v>2.9339215929692311E-2</v>
      </c>
      <c r="M1093">
        <f>0.219545153215385*(0.3)</f>
        <v>6.5863545964615397E-2</v>
      </c>
      <c r="N1093">
        <f>0.199586502923077*(0.3)</f>
        <v>5.987595087692308E-2</v>
      </c>
    </row>
    <row r="1094" spans="1:14" x14ac:dyDescent="0.25">
      <c r="A1094">
        <f>0.480188558*(0.3)</f>
        <v>0.1440565674</v>
      </c>
      <c r="B1094">
        <f>-0.0369375813846154*(0.3)</f>
        <v>-1.1081274415384616E-2</v>
      </c>
      <c r="C1094">
        <f>-0.110812744153846*(0.3)</f>
        <v>-3.3243823246153846E-2</v>
      </c>
      <c r="D1094">
        <f>-0.0369375813846154*(0.3)</f>
        <v>-1.1081274415384616E-2</v>
      </c>
      <c r="E1094">
        <f>-0.0369375813846154*(0.3)</f>
        <v>-1.1081274415384616E-2</v>
      </c>
      <c r="F1094">
        <f>-0.0369375813846154*(0.3)</f>
        <v>-1.1081274415384616E-2</v>
      </c>
      <c r="G1094">
        <f>-0.0221625488307692*(0.3)</f>
        <v>-6.6487646492307696E-3</v>
      </c>
      <c r="H1094">
        <f>-0.0369375813846154*(0.3)</f>
        <v>-1.1081274415384616E-2</v>
      </c>
      <c r="I1094">
        <f>-0.0369375813846154*(0.3)</f>
        <v>-1.1081274415384616E-2</v>
      </c>
      <c r="J1094">
        <f>0.00738751627692308*(0.3)</f>
        <v>2.2162548830769228E-3</v>
      </c>
      <c r="K1094">
        <f>-0.0369375813846154*(0.3)</f>
        <v>-1.1081274415384616E-2</v>
      </c>
      <c r="L1094">
        <f>-0.0180994148784615*(0.3)</f>
        <v>-5.4298244635384608E-3</v>
      </c>
      <c r="M1094">
        <f>-0.0406313395230769*(0.3)</f>
        <v>-1.2189401856923077E-2</v>
      </c>
      <c r="N1094">
        <f>-0.0369375813846154*(0.3)</f>
        <v>-1.1081274415384616E-2</v>
      </c>
    </row>
    <row r="1095" spans="1:14" x14ac:dyDescent="0.25">
      <c r="A1095">
        <f>-2.626851971*(0.3)</f>
        <v>-0.78805559129999991</v>
      </c>
      <c r="B1095">
        <f>0.202065536230769*(0.3)</f>
        <v>6.0619660869230763E-2</v>
      </c>
      <c r="C1095">
        <f>0.606196608692308*(0.3)</f>
        <v>0.18185898260769229</v>
      </c>
      <c r="D1095">
        <f>0.202065536230769*(0.3)</f>
        <v>6.0619660869230763E-2</v>
      </c>
      <c r="E1095">
        <f>0.202065536230769*(0.3)</f>
        <v>6.0619660869230763E-2</v>
      </c>
      <c r="F1095">
        <f>0.202065536230769*(0.3)</f>
        <v>6.0619660869230763E-2</v>
      </c>
      <c r="G1095">
        <f>0.121239321738462*(0.3)</f>
        <v>3.6371796521538456E-2</v>
      </c>
      <c r="H1095">
        <f>0.202065536230769*(0.3)</f>
        <v>6.0619660869230763E-2</v>
      </c>
      <c r="I1095">
        <f>0.202065536230769*(0.3)</f>
        <v>6.0619660869230763E-2</v>
      </c>
      <c r="J1095">
        <f>-0.0404131072461538*(0.3)</f>
        <v>-1.2123932173846151E-2</v>
      </c>
      <c r="K1095">
        <f>0.202065536230769*(0.3)</f>
        <v>6.0619660869230763E-2</v>
      </c>
      <c r="L1095">
        <f>0.0990121127530769*(0.3)</f>
        <v>2.9703633825923073E-2</v>
      </c>
      <c r="M1095">
        <f>0.222272089853846*(0.3)</f>
        <v>6.6681626956153844E-2</v>
      </c>
      <c r="N1095">
        <f>0.202065536230769*(0.3)</f>
        <v>6.0619660869230763E-2</v>
      </c>
    </row>
    <row r="1096" spans="1:14" x14ac:dyDescent="0.25">
      <c r="A1096">
        <f>0.766133375*(0.3)</f>
        <v>0.2298400125</v>
      </c>
      <c r="B1096">
        <f>-0.0589333365384615*(0.3)</f>
        <v>-1.7680000961538461E-2</v>
      </c>
      <c r="C1096">
        <f>-0.176800009615385*(0.3)</f>
        <v>-5.3040002884615384E-2</v>
      </c>
      <c r="D1096">
        <f>-0.0589333365384615*(0.3)</f>
        <v>-1.7680000961538461E-2</v>
      </c>
      <c r="E1096">
        <f>-0.0589333365384615*(0.3)</f>
        <v>-1.7680000961538461E-2</v>
      </c>
      <c r="F1096">
        <f>-0.0589333365384615*(0.3)</f>
        <v>-1.7680000961538461E-2</v>
      </c>
      <c r="G1096">
        <f>-0.0353600019230769*(0.3)</f>
        <v>-1.0608000576923076E-2</v>
      </c>
      <c r="H1096">
        <f>-0.0589333365384615*(0.3)</f>
        <v>-1.7680000961538461E-2</v>
      </c>
      <c r="I1096">
        <f>-0.0589333365384615*(0.3)</f>
        <v>-1.7680000961538461E-2</v>
      </c>
      <c r="J1096">
        <f>0.0117866673076923*(0.3)</f>
        <v>3.5360001923076916E-3</v>
      </c>
      <c r="K1096">
        <f>-0.0589333365384615*(0.3)</f>
        <v>-1.7680000961538461E-2</v>
      </c>
      <c r="L1096">
        <f>-0.0288773349038462*(0.3)</f>
        <v>-8.6632004711538462E-3</v>
      </c>
      <c r="M1096">
        <f>-0.0648266701923077*(0.3)</f>
        <v>-1.9448001057692309E-2</v>
      </c>
      <c r="N1096">
        <f>-0.0589333365384615*(0.3)</f>
        <v>-1.7680000961538461E-2</v>
      </c>
    </row>
    <row r="1097" spans="1:14" x14ac:dyDescent="0.25">
      <c r="A1097">
        <f>-6.082181215*(0.3)</f>
        <v>-1.8246543645</v>
      </c>
      <c r="B1097">
        <f>0.467860093461539*(0.3)</f>
        <v>0.14035802803846154</v>
      </c>
      <c r="C1097">
        <f>1.40358028038462*(0.3)</f>
        <v>0.42107408411538466</v>
      </c>
      <c r="D1097">
        <f>0.467860093461539*(0.3)</f>
        <v>0.14035802803846154</v>
      </c>
      <c r="E1097">
        <f>0.467860093461539*(0.3)</f>
        <v>0.14035802803846154</v>
      </c>
      <c r="F1097">
        <f>0.467860093461539*(0.3)</f>
        <v>0.14035802803846154</v>
      </c>
      <c r="G1097">
        <f>0.280716056076923*(0.3)</f>
        <v>8.4214816823076924E-2</v>
      </c>
      <c r="H1097">
        <f>0.467860093461539*(0.3)</f>
        <v>0.14035802803846154</v>
      </c>
      <c r="I1097">
        <f>0.467860093461539*(0.3)</f>
        <v>0.14035802803846154</v>
      </c>
      <c r="J1097">
        <f>-0.0935720186923077*(0.3)</f>
        <v>-2.8071605607692302E-2</v>
      </c>
      <c r="K1097">
        <f>0.467860093461539*(0.3)</f>
        <v>0.14035802803846154</v>
      </c>
      <c r="L1097">
        <f>0.229251445796154*(0.3)</f>
        <v>6.8775433738846162E-2</v>
      </c>
      <c r="M1097">
        <f>0.514646102807692*(0.3)</f>
        <v>0.15439383084230771</v>
      </c>
      <c r="N1097">
        <f>0.467860093461539*(0.3)</f>
        <v>0.14035802803846154</v>
      </c>
    </row>
    <row r="1098" spans="1:14" x14ac:dyDescent="0.25">
      <c r="A1098">
        <f>-0.263549323*(0.3)</f>
        <v>-7.9064796899999998E-2</v>
      </c>
      <c r="B1098">
        <f>0.0202730248461538*(0.3)</f>
        <v>6.0819074538461535E-3</v>
      </c>
      <c r="C1098">
        <f>0.0608190745384615*(0.3)</f>
        <v>1.8245722361538461E-2</v>
      </c>
      <c r="D1098">
        <f>0.0202730248461538*(0.3)</f>
        <v>6.0819074538461535E-3</v>
      </c>
      <c r="E1098">
        <f>0.0202730248461538*(0.3)</f>
        <v>6.0819074538461535E-3</v>
      </c>
      <c r="F1098">
        <f>0.0202730248461538*(0.3)</f>
        <v>6.0819074538461535E-3</v>
      </c>
      <c r="G1098">
        <f>0.0121638149076923*(0.3)</f>
        <v>3.6491444723076921E-3</v>
      </c>
      <c r="H1098">
        <f>0.0202730248461538*(0.3)</f>
        <v>6.0819074538461535E-3</v>
      </c>
      <c r="I1098">
        <f>0.0202730248461538*(0.3)</f>
        <v>6.0819074538461535E-3</v>
      </c>
      <c r="J1098">
        <f>-0.00405460496923077*(0.3)</f>
        <v>-1.2163814907692305E-3</v>
      </c>
      <c r="K1098">
        <f>0.0202730248461538*(0.3)</f>
        <v>6.0819074538461535E-3</v>
      </c>
      <c r="L1098">
        <f>0.00993378217461538*(0.3)</f>
        <v>2.9801346523846148E-3</v>
      </c>
      <c r="M1098">
        <f>0.0223003273307692*(0.3)</f>
        <v>6.6900981992307701E-3</v>
      </c>
      <c r="N1098">
        <f>0.0202730248461538*(0.3)</f>
        <v>6.0819074538461535E-3</v>
      </c>
    </row>
    <row r="1099" spans="1:14" x14ac:dyDescent="0.25">
      <c r="A1099">
        <f>-4.609022035*(0.3)</f>
        <v>-1.3827066104999999</v>
      </c>
      <c r="B1099">
        <f>0.354540156538461*(0.3)</f>
        <v>0.10636204696153845</v>
      </c>
      <c r="C1099">
        <f>1.06362046961538*(0.3)</f>
        <v>0.31908614088461534</v>
      </c>
      <c r="D1099">
        <f>0.354540156538461*(0.3)</f>
        <v>0.10636204696153845</v>
      </c>
      <c r="E1099">
        <f>0.354540156538461*(0.3)</f>
        <v>0.10636204696153845</v>
      </c>
      <c r="F1099">
        <f>0.354540156538461*(0.3)</f>
        <v>0.10636204696153845</v>
      </c>
      <c r="G1099">
        <f>0.212724093923077*(0.3)</f>
        <v>6.3817228176923063E-2</v>
      </c>
      <c r="H1099">
        <f>0.354540156538461*(0.3)</f>
        <v>0.10636204696153845</v>
      </c>
      <c r="I1099">
        <f>0.354540156538461*(0.3)</f>
        <v>0.10636204696153845</v>
      </c>
      <c r="J1099">
        <f>-0.0709080313076923*(0.3)</f>
        <v>-2.1272409392307685E-2</v>
      </c>
      <c r="K1099">
        <f>0.354540156538461*(0.3)</f>
        <v>0.10636204696153845</v>
      </c>
      <c r="L1099">
        <f>0.173724676703846*(0.3)</f>
        <v>5.2117403011153834E-2</v>
      </c>
      <c r="M1099">
        <f>0.389994172192308*(0.3)</f>
        <v>0.1169982516576923</v>
      </c>
      <c r="N1099">
        <f>0.354540156538461*(0.3)</f>
        <v>0.10636204696153845</v>
      </c>
    </row>
    <row r="1100" spans="1:14" x14ac:dyDescent="0.25">
      <c r="A1100">
        <f>-0.546919842*(0.3)</f>
        <v>-0.16407595259999999</v>
      </c>
      <c r="B1100">
        <f>0.0420707570769231*(0.3)</f>
        <v>1.2621227123076924E-2</v>
      </c>
      <c r="C1100">
        <f>0.126212271230769*(0.3)</f>
        <v>3.7863681369230767E-2</v>
      </c>
      <c r="D1100">
        <f>0.0420707570769231*(0.3)</f>
        <v>1.2621227123076924E-2</v>
      </c>
      <c r="E1100">
        <f>0.0420707570769231*(0.3)</f>
        <v>1.2621227123076924E-2</v>
      </c>
      <c r="F1100">
        <f>0.0420707570769231*(0.3)</f>
        <v>1.2621227123076924E-2</v>
      </c>
      <c r="G1100">
        <f>0.0252424542461538*(0.3)</f>
        <v>7.5727362738461541E-3</v>
      </c>
      <c r="H1100">
        <f>0.0420707570769231*(0.3)</f>
        <v>1.2621227123076924E-2</v>
      </c>
      <c r="I1100">
        <f>0.0420707570769231*(0.3)</f>
        <v>1.2621227123076924E-2</v>
      </c>
      <c r="J1100">
        <f>-0.00841415141538461*(0.3)</f>
        <v>-2.5242454246153841E-3</v>
      </c>
      <c r="K1100">
        <f>0.0420707570769231*(0.3)</f>
        <v>1.2621227123076924E-2</v>
      </c>
      <c r="L1100">
        <f>0.0206146709676923*(0.3)</f>
        <v>6.1844012903076928E-3</v>
      </c>
      <c r="M1100">
        <f>0.0462778327846154*(0.3)</f>
        <v>1.3883349835384617E-2</v>
      </c>
      <c r="N1100">
        <f>0.0420707570769231*(0.3)</f>
        <v>1.2621227123076924E-2</v>
      </c>
    </row>
    <row r="1101" spans="1:14" x14ac:dyDescent="0.25">
      <c r="A1101">
        <f>-8.123264598*(0.3)</f>
        <v>-2.4369793793999999</v>
      </c>
      <c r="B1101">
        <f>0.624866507538462*(0.3)</f>
        <v>0.18745995226153847</v>
      </c>
      <c r="C1101">
        <f>1.87459952261538*(0.3)</f>
        <v>0.56237985678461544</v>
      </c>
      <c r="D1101">
        <f>0.624866507538462*(0.3)</f>
        <v>0.18745995226153847</v>
      </c>
      <c r="E1101">
        <f>0.624866507538462*(0.3)</f>
        <v>0.18745995226153847</v>
      </c>
      <c r="F1101">
        <f>0.624866507538462*(0.3)</f>
        <v>0.18745995226153847</v>
      </c>
      <c r="G1101">
        <f>0.374919904523077*(0.3)</f>
        <v>0.11247597135692308</v>
      </c>
      <c r="H1101">
        <f>0.624866507538462*(0.3)</f>
        <v>0.18745995226153847</v>
      </c>
      <c r="I1101">
        <f>0.624866507538462*(0.3)</f>
        <v>0.18745995226153847</v>
      </c>
      <c r="J1101">
        <f>-0.124973301507692*(0.3)</f>
        <v>-3.7491990452307687E-2</v>
      </c>
      <c r="K1101">
        <f>0.624866507538462*(0.3)</f>
        <v>0.18745995226153847</v>
      </c>
      <c r="L1101">
        <f>0.306184588693846*(0.3)</f>
        <v>9.1855376608153849E-2</v>
      </c>
      <c r="M1101">
        <f>0.687353158292308*(0.3)</f>
        <v>0.20620594748769233</v>
      </c>
      <c r="N1101">
        <f>0.624866507538462*(0.3)</f>
        <v>0.18745995226153847</v>
      </c>
    </row>
    <row r="1102" spans="1:14" x14ac:dyDescent="0.25">
      <c r="A1102">
        <f>1.440605525*(0.3)</f>
        <v>0.43218165749999998</v>
      </c>
      <c r="B1102">
        <f>-0.110815809615385*(0.3)</f>
        <v>-3.3244742884615382E-2</v>
      </c>
      <c r="C1102">
        <f>-0.332447428846154*(0.3)</f>
        <v>-9.9734228653846152E-2</v>
      </c>
      <c r="D1102">
        <f>-0.110815809615385*(0.3)</f>
        <v>-3.3244742884615382E-2</v>
      </c>
      <c r="E1102">
        <f>-0.110815809615385*(0.3)</f>
        <v>-3.3244742884615382E-2</v>
      </c>
      <c r="F1102">
        <f>-0.110815809615385*(0.3)</f>
        <v>-3.3244742884615382E-2</v>
      </c>
      <c r="G1102">
        <f>-0.0664894857692308*(0.3)</f>
        <v>-1.9946845730769228E-2</v>
      </c>
      <c r="H1102">
        <f>-0.110815809615385*(0.3)</f>
        <v>-3.3244742884615382E-2</v>
      </c>
      <c r="I1102">
        <f>-0.110815809615385*(0.3)</f>
        <v>-3.3244742884615382E-2</v>
      </c>
      <c r="J1102">
        <f>0.0221631619230769*(0.3)</f>
        <v>6.6489485769230753E-3</v>
      </c>
      <c r="K1102">
        <f>-0.110815809615385*(0.3)</f>
        <v>-3.3244742884615382E-2</v>
      </c>
      <c r="L1102">
        <f>-0.0542997467115385*(0.3)</f>
        <v>-1.6289924013461538E-2</v>
      </c>
      <c r="M1102">
        <f>-0.121897390576923*(0.3)</f>
        <v>-3.6569217173076922E-2</v>
      </c>
      <c r="N1102">
        <f>-0.110815809615385*(0.3)</f>
        <v>-3.3244742884615382E-2</v>
      </c>
    </row>
    <row r="1103" spans="1:14" x14ac:dyDescent="0.25">
      <c r="A1103">
        <f>-8.278066595*(0.3)</f>
        <v>-2.4834199785000002</v>
      </c>
      <c r="B1103">
        <f>0.636774353461538*(0.3)</f>
        <v>0.19103230603846152</v>
      </c>
      <c r="C1103">
        <f>1.91032306038462*(0.3)</f>
        <v>0.57309691811538455</v>
      </c>
      <c r="D1103">
        <f>0.636774353461538*(0.3)</f>
        <v>0.19103230603846152</v>
      </c>
      <c r="E1103">
        <f>0.636774353461538*(0.3)</f>
        <v>0.19103230603846152</v>
      </c>
      <c r="F1103">
        <f>0.636774353461538*(0.3)</f>
        <v>0.19103230603846152</v>
      </c>
      <c r="G1103">
        <f>0.382064612076923*(0.3)</f>
        <v>0.11461938362307691</v>
      </c>
      <c r="H1103">
        <f>0.636774353461538*(0.3)</f>
        <v>0.19103230603846152</v>
      </c>
      <c r="I1103">
        <f>0.636774353461538*(0.3)</f>
        <v>0.19103230603846152</v>
      </c>
      <c r="J1103">
        <f>-0.127354870692308*(0.3)</f>
        <v>-3.8206461207692298E-2</v>
      </c>
      <c r="K1103">
        <f>0.636774353461538*(0.3)</f>
        <v>0.19103230603846152</v>
      </c>
      <c r="L1103">
        <f>0.312019433196154*(0.3)</f>
        <v>9.3605829958846143E-2</v>
      </c>
      <c r="M1103">
        <f>0.700451788807692*(0.3)</f>
        <v>0.21013553664230769</v>
      </c>
      <c r="N1103">
        <f>0.636774353461538*(0.3)</f>
        <v>0.19103230603846152</v>
      </c>
    </row>
    <row r="1104" spans="1:14" x14ac:dyDescent="0.25">
      <c r="A1104">
        <f>-2.164932892*(0.3)</f>
        <v>-0.64947986759999998</v>
      </c>
      <c r="B1104">
        <f>0.166533299384615*(0.3)</f>
        <v>4.9959989815384617E-2</v>
      </c>
      <c r="C1104">
        <f>0.499599898153846*(0.3)</f>
        <v>0.14987996944615387</v>
      </c>
      <c r="D1104">
        <f>0.166533299384615*(0.3)</f>
        <v>4.9959989815384617E-2</v>
      </c>
      <c r="E1104">
        <f>0.166533299384615*(0.3)</f>
        <v>4.9959989815384617E-2</v>
      </c>
      <c r="F1104">
        <f>0.166533299384615*(0.3)</f>
        <v>4.9959989815384617E-2</v>
      </c>
      <c r="G1104">
        <f>0.0999199796307692*(0.3)</f>
        <v>2.9975993889230768E-2</v>
      </c>
      <c r="H1104">
        <f>0.166533299384615*(0.3)</f>
        <v>4.9959989815384617E-2</v>
      </c>
      <c r="I1104">
        <f>0.166533299384615*(0.3)</f>
        <v>4.9959989815384617E-2</v>
      </c>
      <c r="J1104">
        <f>-0.0333066598769231*(0.3)</f>
        <v>-9.991997963076921E-3</v>
      </c>
      <c r="K1104">
        <f>0.166533299384615*(0.3)</f>
        <v>4.9959989815384617E-2</v>
      </c>
      <c r="L1104">
        <f>0.0816013166984615*(0.3)</f>
        <v>2.4480395009538462E-2</v>
      </c>
      <c r="M1104">
        <f>0.183186629323077*(0.3)</f>
        <v>5.495598879692308E-2</v>
      </c>
      <c r="N1104">
        <f>0.166533299384615*(0.3)</f>
        <v>4.9959989815384617E-2</v>
      </c>
    </row>
    <row r="1105" spans="1:14" x14ac:dyDescent="0.25">
      <c r="A1105">
        <f>-4.102271722*(0.3)</f>
        <v>-1.2306815166</v>
      </c>
      <c r="B1105">
        <f>0.315559363230769*(0.3)</f>
        <v>9.4667808969230785E-2</v>
      </c>
      <c r="C1105">
        <f>0.946678089692308*(0.3)</f>
        <v>0.28400342690769231</v>
      </c>
      <c r="D1105">
        <f>0.315559363230769*(0.3)</f>
        <v>9.4667808969230785E-2</v>
      </c>
      <c r="E1105">
        <f>0.315559363230769*(0.3)</f>
        <v>9.4667808969230785E-2</v>
      </c>
      <c r="F1105">
        <f>0.315559363230769*(0.3)</f>
        <v>9.4667808969230785E-2</v>
      </c>
      <c r="G1105">
        <f>0.189335617938462*(0.3)</f>
        <v>5.6800685381538471E-2</v>
      </c>
      <c r="H1105">
        <f>0.315559363230769*(0.3)</f>
        <v>9.4667808969230785E-2</v>
      </c>
      <c r="I1105">
        <f>0.315559363230769*(0.3)</f>
        <v>9.4667808969230785E-2</v>
      </c>
      <c r="J1105">
        <f>-0.0631118726461538*(0.3)</f>
        <v>-1.893356179384615E-2</v>
      </c>
      <c r="K1105">
        <f>0.315559363230769*(0.3)</f>
        <v>9.4667808969230785E-2</v>
      </c>
      <c r="L1105">
        <f>0.154624087983077*(0.3)</f>
        <v>4.6387226394923084E-2</v>
      </c>
      <c r="M1105">
        <f>0.347115299553846*(0.3)</f>
        <v>0.10413458986615387</v>
      </c>
      <c r="N1105">
        <f>0.315559363230769*(0.3)</f>
        <v>9.4667808969230785E-2</v>
      </c>
    </row>
    <row r="1106" spans="1:14" x14ac:dyDescent="0.25">
      <c r="A1106">
        <f>-2.621468108*(0.3)</f>
        <v>-0.78644043240000006</v>
      </c>
      <c r="B1106">
        <f>0.201651392923077*(0.3)</f>
        <v>6.0495417876923079E-2</v>
      </c>
      <c r="C1106">
        <f>0.604954178769231*(0.3)</f>
        <v>0.18148625363076923</v>
      </c>
      <c r="D1106">
        <f>0.201651392923077*(0.3)</f>
        <v>6.0495417876923079E-2</v>
      </c>
      <c r="E1106">
        <f>0.201651392923077*(0.3)</f>
        <v>6.0495417876923079E-2</v>
      </c>
      <c r="F1106">
        <f>0.201651392923077*(0.3)</f>
        <v>6.0495417876923079E-2</v>
      </c>
      <c r="G1106">
        <f>0.120990835753846*(0.3)</f>
        <v>3.6297250726153849E-2</v>
      </c>
      <c r="H1106">
        <f>0.201651392923077*(0.3)</f>
        <v>6.0495417876923079E-2</v>
      </c>
      <c r="I1106">
        <f>0.201651392923077*(0.3)</f>
        <v>6.0495417876923079E-2</v>
      </c>
      <c r="J1106">
        <f>-0.0403302785846154*(0.3)</f>
        <v>-1.2099083575384613E-2</v>
      </c>
      <c r="K1106">
        <f>0.201651392923077*(0.3)</f>
        <v>6.0495417876923079E-2</v>
      </c>
      <c r="L1106">
        <f>0.0988091825323077*(0.3)</f>
        <v>2.9642754759692306E-2</v>
      </c>
      <c r="M1106">
        <f>0.221816532215385*(0.3)</f>
        <v>6.6544959664615391E-2</v>
      </c>
      <c r="N1106">
        <f>0.201651392923077*(0.3)</f>
        <v>6.0495417876923079E-2</v>
      </c>
    </row>
    <row r="1107" spans="1:14" x14ac:dyDescent="0.25">
      <c r="A1107">
        <f>-2.633235808*(0.3)</f>
        <v>-0.78997074239999987</v>
      </c>
      <c r="B1107">
        <f>0.202556600615385*(0.3)</f>
        <v>6.0766980184615377E-2</v>
      </c>
      <c r="C1107">
        <f>0.607669801846154*(0.3)</f>
        <v>0.18230094055384613</v>
      </c>
      <c r="D1107">
        <f>0.202556600615385*(0.3)</f>
        <v>6.0766980184615377E-2</v>
      </c>
      <c r="E1107">
        <f>0.202556600615385*(0.3)</f>
        <v>6.0766980184615377E-2</v>
      </c>
      <c r="F1107">
        <f>0.202556600615385*(0.3)</f>
        <v>6.0766980184615377E-2</v>
      </c>
      <c r="G1107">
        <f>0.121533960369231*(0.3)</f>
        <v>3.6460188110769225E-2</v>
      </c>
      <c r="H1107">
        <f>0.202556600615385*(0.3)</f>
        <v>6.0766980184615377E-2</v>
      </c>
      <c r="I1107">
        <f>0.202556600615385*(0.3)</f>
        <v>6.0766980184615377E-2</v>
      </c>
      <c r="J1107">
        <f>-0.0405113201230769*(0.3)</f>
        <v>-1.2153396036923074E-2</v>
      </c>
      <c r="K1107">
        <f>0.202556600615385*(0.3)</f>
        <v>6.0766980184615377E-2</v>
      </c>
      <c r="L1107">
        <f>0.0992527343015385*(0.3)</f>
        <v>2.9775820290461535E-2</v>
      </c>
      <c r="M1107">
        <f>0.222812260676923*(0.3)</f>
        <v>6.684367820307692E-2</v>
      </c>
      <c r="N1107">
        <f>0.202556600615385*(0.3)</f>
        <v>6.0766980184615377E-2</v>
      </c>
    </row>
    <row r="1108" spans="1:14" x14ac:dyDescent="0.25">
      <c r="A1108">
        <f>-0.859602101*(0.3)</f>
        <v>-0.25788063029999997</v>
      </c>
      <c r="B1108">
        <f>0.0661232385384615*(0.3)</f>
        <v>1.983697156153846E-2</v>
      </c>
      <c r="C1108">
        <f>0.198369715615385*(0.3)</f>
        <v>5.951091468461539E-2</v>
      </c>
      <c r="D1108">
        <f>0.0661232385384615*(0.3)</f>
        <v>1.983697156153846E-2</v>
      </c>
      <c r="E1108">
        <f>0.0661232385384615*(0.3)</f>
        <v>1.983697156153846E-2</v>
      </c>
      <c r="F1108">
        <f>0.0661232385384615*(0.3)</f>
        <v>1.983697156153846E-2</v>
      </c>
      <c r="G1108">
        <f>0.0396739431230769*(0.3)</f>
        <v>1.1902182936923076E-2</v>
      </c>
      <c r="H1108">
        <f>0.0661232385384615*(0.3)</f>
        <v>1.983697156153846E-2</v>
      </c>
      <c r="I1108">
        <f>0.0661232385384615*(0.3)</f>
        <v>1.983697156153846E-2</v>
      </c>
      <c r="J1108">
        <f>-0.0132246477076923*(0.3)</f>
        <v>-3.9673943123076909E-3</v>
      </c>
      <c r="K1108">
        <f>0.0661232385384615*(0.3)</f>
        <v>1.983697156153846E-2</v>
      </c>
      <c r="L1108">
        <f>0.0324003868838462*(0.3)</f>
        <v>9.720116065153845E-3</v>
      </c>
      <c r="M1108">
        <f>0.0727355623923077*(0.3)</f>
        <v>2.182066871769231E-2</v>
      </c>
      <c r="N1108">
        <f>0.0661232385384615*(0.3)</f>
        <v>1.983697156153846E-2</v>
      </c>
    </row>
    <row r="1109" spans="1:14" x14ac:dyDescent="0.25">
      <c r="A1109">
        <f>-6.14916197*(0.3)</f>
        <v>-1.8447485909999999</v>
      </c>
      <c r="B1109">
        <f>0.473012459230769*(0.3)</f>
        <v>0.14190373776923076</v>
      </c>
      <c r="C1109">
        <f>1.41903737769231*(0.3)</f>
        <v>0.42571121330769229</v>
      </c>
      <c r="D1109">
        <f>0.473012459230769*(0.3)</f>
        <v>0.14190373776923076</v>
      </c>
      <c r="E1109">
        <f>0.473012459230769*(0.3)</f>
        <v>0.14190373776923076</v>
      </c>
      <c r="F1109">
        <f>0.473012459230769*(0.3)</f>
        <v>0.14190373776923076</v>
      </c>
      <c r="G1109">
        <f>0.283807475538462*(0.3)</f>
        <v>8.5142242661538456E-2</v>
      </c>
      <c r="H1109">
        <f>0.473012459230769*(0.3)</f>
        <v>0.14190373776923076</v>
      </c>
      <c r="I1109">
        <f>0.473012459230769*(0.3)</f>
        <v>0.14190373776923076</v>
      </c>
      <c r="J1109">
        <f>-0.0946024918461538*(0.3)</f>
        <v>-2.8380747553846147E-2</v>
      </c>
      <c r="K1109">
        <f>0.473012459230769*(0.3)</f>
        <v>0.14190373776923076</v>
      </c>
      <c r="L1109">
        <f>0.231776105023077*(0.3)</f>
        <v>6.9532831506923076E-2</v>
      </c>
      <c r="M1109">
        <f>0.520313705153846*(0.3)</f>
        <v>0.15609411154615385</v>
      </c>
      <c r="N1109">
        <f>0.473012459230769*(0.3)</f>
        <v>0.14190373776923076</v>
      </c>
    </row>
    <row r="1110" spans="1:14" x14ac:dyDescent="0.25">
      <c r="A1110">
        <f>1.472520971*(0.3)</f>
        <v>0.44175629129999999</v>
      </c>
      <c r="B1110">
        <f>-0.113270843923077*(0.3)</f>
        <v>-3.3981253176923076E-2</v>
      </c>
      <c r="C1110">
        <f>-0.339812531769231*(0.3)</f>
        <v>-0.10194375953076923</v>
      </c>
      <c r="D1110">
        <f>-0.113270843923077*(0.3)</f>
        <v>-3.3981253176923076E-2</v>
      </c>
      <c r="E1110">
        <f>-0.113270843923077*(0.3)</f>
        <v>-3.3981253176923076E-2</v>
      </c>
      <c r="F1110">
        <f>-0.113270843923077*(0.3)</f>
        <v>-3.3981253176923076E-2</v>
      </c>
      <c r="G1110">
        <f>-0.0679625063538462*(0.3)</f>
        <v>-2.0388751906153846E-2</v>
      </c>
      <c r="H1110">
        <f>-0.113270843923077*(0.3)</f>
        <v>-3.3981253176923076E-2</v>
      </c>
      <c r="I1110">
        <f>-0.113270843923077*(0.3)</f>
        <v>-3.3981253176923076E-2</v>
      </c>
      <c r="J1110">
        <f>0.0226541687846154*(0.3)</f>
        <v>6.7962506353846141E-3</v>
      </c>
      <c r="K1110">
        <f>-0.113270843923077*(0.3)</f>
        <v>-3.3981253176923076E-2</v>
      </c>
      <c r="L1110">
        <f>-0.0555027135223077*(0.3)</f>
        <v>-1.6650814056692307E-2</v>
      </c>
      <c r="M1110">
        <f>-0.124597928315385*(0.3)</f>
        <v>-3.7379378494615388E-2</v>
      </c>
      <c r="N1110">
        <f>-0.113270843923077*(0.3)</f>
        <v>-3.3981253176923076E-2</v>
      </c>
    </row>
    <row r="1111" spans="1:14" x14ac:dyDescent="0.25">
      <c r="A1111">
        <f>-9.341016613*(0.3)</f>
        <v>-2.8023049839</v>
      </c>
      <c r="B1111">
        <f>0.718539739461538*(0.3)</f>
        <v>0.21556192183846154</v>
      </c>
      <c r="C1111">
        <f>2.15561921838462*(0.3)</f>
        <v>0.64668576551538459</v>
      </c>
      <c r="D1111">
        <f>0.718539739461538*(0.3)</f>
        <v>0.21556192183846154</v>
      </c>
      <c r="E1111">
        <f>0.718539739461538*(0.3)</f>
        <v>0.21556192183846154</v>
      </c>
      <c r="F1111">
        <f>0.718539739461538*(0.3)</f>
        <v>0.21556192183846154</v>
      </c>
      <c r="G1111">
        <f>0.431123843676923*(0.3)</f>
        <v>0.12933715310307692</v>
      </c>
      <c r="H1111">
        <f>0.718539739461538*(0.3)</f>
        <v>0.21556192183846154</v>
      </c>
      <c r="I1111">
        <f>0.718539739461538*(0.3)</f>
        <v>0.21556192183846154</v>
      </c>
      <c r="J1111">
        <f>-0.143707947892308*(0.3)</f>
        <v>-4.3112384367692304E-2</v>
      </c>
      <c r="K1111">
        <f>0.718539739461538*(0.3)</f>
        <v>0.21556192183846154</v>
      </c>
      <c r="L1111">
        <f>0.352084472336154*(0.3)</f>
        <v>0.10562534170084616</v>
      </c>
      <c r="M1111">
        <f>0.790393713407692*(0.3)</f>
        <v>0.2371181140223077</v>
      </c>
      <c r="N1111">
        <f>0.718539739461538*(0.3)</f>
        <v>0.21556192183846154</v>
      </c>
    </row>
    <row r="1112" spans="1:14" x14ac:dyDescent="0.25">
      <c r="A1112">
        <f>-1.691737036*(0.3)</f>
        <v>-0.50752111079999995</v>
      </c>
      <c r="B1112">
        <f>0.130133618153846*(0.3)</f>
        <v>3.9040085446153838E-2</v>
      </c>
      <c r="C1112">
        <f>0.390400854461538*(0.3)</f>
        <v>0.11712025633846151</v>
      </c>
      <c r="D1112">
        <f>0.130133618153846*(0.3)</f>
        <v>3.9040085446153838E-2</v>
      </c>
      <c r="E1112">
        <f>0.130133618153846*(0.3)</f>
        <v>3.9040085446153838E-2</v>
      </c>
      <c r="F1112">
        <f>0.130133618153846*(0.3)</f>
        <v>3.9040085446153838E-2</v>
      </c>
      <c r="G1112">
        <f>0.0780801708923077*(0.3)</f>
        <v>2.3424051267692304E-2</v>
      </c>
      <c r="H1112">
        <f>0.130133618153846*(0.3)</f>
        <v>3.9040085446153838E-2</v>
      </c>
      <c r="I1112">
        <f>0.130133618153846*(0.3)</f>
        <v>3.9040085446153838E-2</v>
      </c>
      <c r="J1112">
        <f>-0.0260267236307692*(0.3)</f>
        <v>-7.8080170892307664E-3</v>
      </c>
      <c r="K1112">
        <f>0.130133618153846*(0.3)</f>
        <v>3.9040085446153838E-2</v>
      </c>
      <c r="L1112">
        <f>0.0637654728953846*(0.3)</f>
        <v>1.912964186861538E-2</v>
      </c>
      <c r="M1112">
        <f>0.143146979969231*(0.3)</f>
        <v>4.2944093990769226E-2</v>
      </c>
      <c r="N1112">
        <f>0.130133618153846*(0.3)</f>
        <v>3.9040085446153838E-2</v>
      </c>
    </row>
    <row r="1113" spans="1:14" x14ac:dyDescent="0.25">
      <c r="A1113">
        <f>-12.20618395*(0.3)</f>
        <v>-3.6618551849999998</v>
      </c>
      <c r="B1113">
        <f>0.938937226923077*(0.3)</f>
        <v>0.28168116807692306</v>
      </c>
      <c r="C1113">
        <f>2.81681168076923*(0.3)</f>
        <v>0.84504350423076924</v>
      </c>
      <c r="D1113">
        <f>0.938937226923077*(0.3)</f>
        <v>0.28168116807692306</v>
      </c>
      <c r="E1113">
        <f>0.938937226923077*(0.3)</f>
        <v>0.28168116807692306</v>
      </c>
      <c r="F1113">
        <f>0.938937226923077*(0.3)</f>
        <v>0.28168116807692306</v>
      </c>
      <c r="G1113">
        <f>0.563362336153846*(0.3)</f>
        <v>0.16900870084615383</v>
      </c>
      <c r="H1113">
        <f>0.938937226923077*(0.3)</f>
        <v>0.28168116807692306</v>
      </c>
      <c r="I1113">
        <f>0.938937226923077*(0.3)</f>
        <v>0.28168116807692306</v>
      </c>
      <c r="J1113">
        <f>-0.187787445384615*(0.3)</f>
        <v>-5.6336233615384597E-2</v>
      </c>
      <c r="K1113">
        <f>0.938937226923077*(0.3)</f>
        <v>0.28168116807692306</v>
      </c>
      <c r="L1113">
        <f>0.460079241192308*(0.3)</f>
        <v>0.13802377235769231</v>
      </c>
      <c r="M1113">
        <f>1.03283094961538*(0.3)</f>
        <v>0.30984928488461538</v>
      </c>
      <c r="N1113">
        <f>0.938937226923077*(0.3)</f>
        <v>0.28168116807692306</v>
      </c>
    </row>
    <row r="1114" spans="1:14" x14ac:dyDescent="0.25">
      <c r="A1114">
        <f>1.003412508*(0.3)</f>
        <v>0.30102375240000001</v>
      </c>
      <c r="B1114">
        <f>-0.0771855775384615*(0.3)</f>
        <v>-2.3155673261538463E-2</v>
      </c>
      <c r="C1114">
        <f>-0.231556732615385*(0.3)</f>
        <v>-6.9467019784615378E-2</v>
      </c>
      <c r="D1114">
        <f>-0.0771855775384615*(0.3)</f>
        <v>-2.3155673261538463E-2</v>
      </c>
      <c r="E1114">
        <f>-0.0771855775384615*(0.3)</f>
        <v>-2.3155673261538463E-2</v>
      </c>
      <c r="F1114">
        <f>-0.0771855775384615*(0.3)</f>
        <v>-2.3155673261538463E-2</v>
      </c>
      <c r="G1114">
        <f>-0.0463113465230769*(0.3)</f>
        <v>-1.3893403956923078E-2</v>
      </c>
      <c r="H1114">
        <f>-0.0771855775384615*(0.3)</f>
        <v>-2.3155673261538463E-2</v>
      </c>
      <c r="I1114">
        <f>-0.0771855775384615*(0.3)</f>
        <v>-2.3155673261538463E-2</v>
      </c>
      <c r="J1114">
        <f>0.0154371155076923*(0.3)</f>
        <v>4.6311346523076917E-3</v>
      </c>
      <c r="K1114">
        <f>-0.0771855775384615*(0.3)</f>
        <v>-2.3155673261538463E-2</v>
      </c>
      <c r="L1114">
        <f>-0.0378209329938462*(0.3)</f>
        <v>-1.1346279898153845E-2</v>
      </c>
      <c r="M1114">
        <f>-0.0849041352923077*(0.3)</f>
        <v>-2.5471240587692314E-2</v>
      </c>
      <c r="N1114">
        <f>-0.0771855775384615*(0.3)</f>
        <v>-2.3155673261538463E-2</v>
      </c>
    </row>
    <row r="1115" spans="1:14" x14ac:dyDescent="0.25">
      <c r="A1115">
        <f>-11.43020876*(0.3)</f>
        <v>-3.4290626279999996</v>
      </c>
      <c r="B1115">
        <f>0.879246827692308*(0.3)</f>
        <v>0.2637740483076923</v>
      </c>
      <c r="C1115">
        <f>2.63774048307692*(0.3)</f>
        <v>0.79132214492307684</v>
      </c>
      <c r="D1115">
        <f>0.879246827692308*(0.3)</f>
        <v>0.2637740483076923</v>
      </c>
      <c r="E1115">
        <f>0.879246827692308*(0.3)</f>
        <v>0.2637740483076923</v>
      </c>
      <c r="F1115">
        <f>0.879246827692308*(0.3)</f>
        <v>0.2637740483076923</v>
      </c>
      <c r="G1115">
        <f>0.527548096615385*(0.3)</f>
        <v>0.15826442898461537</v>
      </c>
      <c r="H1115">
        <f>0.879246827692308*(0.3)</f>
        <v>0.2637740483076923</v>
      </c>
      <c r="I1115">
        <f>0.879246827692308*(0.3)</f>
        <v>0.2637740483076923</v>
      </c>
      <c r="J1115">
        <f>-0.175849365538462*(0.3)</f>
        <v>-5.2754809661538449E-2</v>
      </c>
      <c r="K1115">
        <f>0.879246827692308*(0.3)</f>
        <v>0.2637740483076923</v>
      </c>
      <c r="L1115">
        <f>0.430830945569231*(0.3)</f>
        <v>0.12924928367076921</v>
      </c>
      <c r="M1115">
        <f>0.967171510461538*(0.3)</f>
        <v>0.29015145313846152</v>
      </c>
      <c r="N1115">
        <f>0.879246827692308*(0.3)</f>
        <v>0.2637740483076923</v>
      </c>
    </row>
    <row r="1116" spans="1:14" x14ac:dyDescent="0.25">
      <c r="A1116">
        <f>-0.713030754*(0.3)</f>
        <v>-0.2139092262</v>
      </c>
      <c r="B1116">
        <f>0.0548485195384615*(0.3)</f>
        <v>1.6454555861538461E-2</v>
      </c>
      <c r="C1116">
        <f>0.164545558615385*(0.3)</f>
        <v>4.9363667584615391E-2</v>
      </c>
      <c r="D1116">
        <f>0.0548485195384615*(0.3)</f>
        <v>1.6454555861538461E-2</v>
      </c>
      <c r="E1116">
        <f>0.0548485195384615*(0.3)</f>
        <v>1.6454555861538461E-2</v>
      </c>
      <c r="F1116">
        <f>0.0548485195384615*(0.3)</f>
        <v>1.6454555861538461E-2</v>
      </c>
      <c r="G1116">
        <f>0.0329091117230769*(0.3)</f>
        <v>9.8727335169230771E-3</v>
      </c>
      <c r="H1116">
        <f>0.0548485195384615*(0.3)</f>
        <v>1.6454555861538461E-2</v>
      </c>
      <c r="I1116">
        <f>0.0548485195384615*(0.3)</f>
        <v>1.6454555861538461E-2</v>
      </c>
      <c r="J1116">
        <f>-0.0109697039076923*(0.3)</f>
        <v>-3.2909111723076916E-3</v>
      </c>
      <c r="K1116">
        <f>0.0548485195384615*(0.3)</f>
        <v>1.6454555861538461E-2</v>
      </c>
      <c r="L1116">
        <f>0.0268757745738462*(0.3)</f>
        <v>8.0627323721538472E-3</v>
      </c>
      <c r="M1116">
        <f>0.0603333714923077*(0.3)</f>
        <v>1.8100011447692309E-2</v>
      </c>
      <c r="N1116">
        <f>0.0548485195384615*(0.3)</f>
        <v>1.6454555861538461E-2</v>
      </c>
    </row>
    <row r="1117" spans="1:14" x14ac:dyDescent="0.25">
      <c r="A1117">
        <f>-10.9647828*(0.3)</f>
        <v>-3.2894348399999997</v>
      </c>
      <c r="B1117">
        <f>0.843444830769231*(0.3)</f>
        <v>0.25303344923076926</v>
      </c>
      <c r="C1117">
        <f>2.53033449230769*(0.3)</f>
        <v>0.75910034769230761</v>
      </c>
      <c r="D1117">
        <f>0.843444830769231*(0.3)</f>
        <v>0.25303344923076926</v>
      </c>
      <c r="E1117">
        <f>0.843444830769231*(0.3)</f>
        <v>0.25303344923076926</v>
      </c>
      <c r="F1117">
        <f>0.843444830769231*(0.3)</f>
        <v>0.25303344923076926</v>
      </c>
      <c r="G1117">
        <f>0.506066898461539*(0.3)</f>
        <v>0.15182006953846156</v>
      </c>
      <c r="H1117">
        <f>0.843444830769231*(0.3)</f>
        <v>0.25303344923076926</v>
      </c>
      <c r="I1117">
        <f>0.843444830769231*(0.3)</f>
        <v>0.25303344923076926</v>
      </c>
      <c r="J1117">
        <f>-0.168688966153846*(0.3)</f>
        <v>-5.0606689846153838E-2</v>
      </c>
      <c r="K1117">
        <f>0.843444830769231*(0.3)</f>
        <v>0.25303344923076926</v>
      </c>
      <c r="L1117">
        <f>0.413287967076923*(0.3)</f>
        <v>0.12398639012307693</v>
      </c>
      <c r="M1117">
        <f>0.927789313846154*(0.3)</f>
        <v>0.27833679415384616</v>
      </c>
      <c r="N1117">
        <f>0.843444830769231*(0.3)</f>
        <v>0.25303344923076926</v>
      </c>
    </row>
    <row r="1118" spans="1:14" x14ac:dyDescent="0.25">
      <c r="A1118">
        <f>0.606281541*(0.3)</f>
        <v>0.18188446229999999</v>
      </c>
      <c r="B1118">
        <f>-0.0466370416153846*(0.3)</f>
        <v>-1.3991112484615384E-2</v>
      </c>
      <c r="C1118">
        <f>-0.139911124846154*(0.3)</f>
        <v>-4.1973337453846148E-2</v>
      </c>
      <c r="D1118">
        <f>-0.0466370416153846*(0.3)</f>
        <v>-1.3991112484615384E-2</v>
      </c>
      <c r="E1118">
        <f>-0.0466370416153846*(0.3)</f>
        <v>-1.3991112484615384E-2</v>
      </c>
      <c r="F1118">
        <f>-0.0466370416153846*(0.3)</f>
        <v>-1.3991112484615384E-2</v>
      </c>
      <c r="G1118">
        <f>-0.0279822249692308*(0.3)</f>
        <v>-8.3946674907692306E-3</v>
      </c>
      <c r="H1118">
        <f>-0.0466370416153846*(0.3)</f>
        <v>-1.3991112484615384E-2</v>
      </c>
      <c r="I1118">
        <f>-0.0466370416153846*(0.3)</f>
        <v>-1.3991112484615384E-2</v>
      </c>
      <c r="J1118">
        <f>0.00932740832307692*(0.3)</f>
        <v>2.7982224969230764E-3</v>
      </c>
      <c r="K1118">
        <f>-0.0466370416153846*(0.3)</f>
        <v>-1.3991112484615384E-2</v>
      </c>
      <c r="L1118">
        <f>-0.0228521503915385*(0.3)</f>
        <v>-6.8556451174615375E-3</v>
      </c>
      <c r="M1118">
        <f>-0.0513007457769231*(0.3)</f>
        <v>-1.5390223733076924E-2</v>
      </c>
      <c r="N1118">
        <f>-0.0466370416153846*(0.3)</f>
        <v>-1.3991112484615384E-2</v>
      </c>
    </row>
    <row r="1119" spans="1:14" x14ac:dyDescent="0.25">
      <c r="A1119">
        <f>-15.94082624*(0.3)</f>
        <v>-4.7822478720000001</v>
      </c>
      <c r="B1119">
        <f>1.22621740307692*(0.3)</f>
        <v>0.36786522092307689</v>
      </c>
      <c r="C1119">
        <f>3.67865220923077*(0.3)</f>
        <v>1.1035956627692307</v>
      </c>
      <c r="D1119">
        <f>1.22621740307692*(0.3)</f>
        <v>0.36786522092307689</v>
      </c>
      <c r="E1119">
        <f>1.22621740307692*(0.3)</f>
        <v>0.36786522092307689</v>
      </c>
      <c r="F1119">
        <f>1.22621740307692*(0.3)</f>
        <v>0.36786522092307689</v>
      </c>
      <c r="G1119">
        <f>0.735730441846154*(0.3)</f>
        <v>0.22071913255384612</v>
      </c>
      <c r="H1119">
        <f>1.22621740307692*(0.3)</f>
        <v>0.36786522092307689</v>
      </c>
      <c r="I1119">
        <f>1.22621740307692*(0.3)</f>
        <v>0.36786522092307689</v>
      </c>
      <c r="J1119">
        <f>-0.245243480615385*(0.3)</f>
        <v>-7.3573044184615369E-2</v>
      </c>
      <c r="K1119">
        <f>1.22621740307692*(0.3)</f>
        <v>0.36786522092307689</v>
      </c>
      <c r="L1119">
        <f>0.600846527507692*(0.3)</f>
        <v>0.18025395825230769</v>
      </c>
      <c r="M1119">
        <f>1.34883914338462*(0.3)</f>
        <v>0.40465174301538459</v>
      </c>
      <c r="N1119">
        <f>1.22621740307692*(0.3)</f>
        <v>0.36786522092307689</v>
      </c>
    </row>
    <row r="1120" spans="1:14" x14ac:dyDescent="0.25">
      <c r="A1120">
        <f>-0.897987787*(0.3)</f>
        <v>-0.26939633610000002</v>
      </c>
      <c r="B1120">
        <f>0.0690759836153846*(0.3)</f>
        <v>2.0722795084615383E-2</v>
      </c>
      <c r="C1120">
        <f>0.207227950846154*(0.3)</f>
        <v>6.2168385253846145E-2</v>
      </c>
      <c r="D1120">
        <f>0.0690759836153846*(0.3)</f>
        <v>2.0722795084615383E-2</v>
      </c>
      <c r="E1120">
        <f>0.0690759836153846*(0.3)</f>
        <v>2.0722795084615383E-2</v>
      </c>
      <c r="F1120">
        <f>0.0690759836153846*(0.3)</f>
        <v>2.0722795084615383E-2</v>
      </c>
      <c r="G1120">
        <f>0.0414455901692308*(0.3)</f>
        <v>1.243367705076923E-2</v>
      </c>
      <c r="H1120">
        <f>0.0690759836153846*(0.3)</f>
        <v>2.0722795084615383E-2</v>
      </c>
      <c r="I1120">
        <f>0.0690759836153846*(0.3)</f>
        <v>2.0722795084615383E-2</v>
      </c>
      <c r="J1120">
        <f>-0.0138151967230769*(0.3)</f>
        <v>-4.1445590169230757E-3</v>
      </c>
      <c r="K1120">
        <f>0.0690759836153846*(0.3)</f>
        <v>2.0722795084615383E-2</v>
      </c>
      <c r="L1120">
        <f>0.0338472319715385*(0.3)</f>
        <v>1.0154169591461537E-2</v>
      </c>
      <c r="M1120">
        <f>0.0759835819769231*(0.3)</f>
        <v>2.2795074593076923E-2</v>
      </c>
      <c r="N1120">
        <f>0.0690759836153846*(0.3)</f>
        <v>2.0722795084615383E-2</v>
      </c>
    </row>
    <row r="1121" spans="1:14" x14ac:dyDescent="0.25">
      <c r="A1121">
        <f>-8.223118912*(0.3)</f>
        <v>-2.4669356736000001</v>
      </c>
      <c r="B1121">
        <f>0.632547608615385*(0.3)</f>
        <v>0.18976428258461539</v>
      </c>
      <c r="C1121">
        <f>1.89764282584615*(0.3)</f>
        <v>0.56929284775384614</v>
      </c>
      <c r="D1121">
        <f>0.632547608615385*(0.3)</f>
        <v>0.18976428258461539</v>
      </c>
      <c r="E1121">
        <f>0.632547608615385*(0.3)</f>
        <v>0.18976428258461539</v>
      </c>
      <c r="F1121">
        <f>0.632547608615385*(0.3)</f>
        <v>0.18976428258461539</v>
      </c>
      <c r="G1121">
        <f>0.379528565169231*(0.3)</f>
        <v>0.11385856955076923</v>
      </c>
      <c r="H1121">
        <f>0.632547608615385*(0.3)</f>
        <v>0.18976428258461539</v>
      </c>
      <c r="I1121">
        <f>0.632547608615385*(0.3)</f>
        <v>0.18976428258461539</v>
      </c>
      <c r="J1121">
        <f>-0.126509521723077*(0.3)</f>
        <v>-3.7952856516923067E-2</v>
      </c>
      <c r="K1121">
        <f>0.632547608615385*(0.3)</f>
        <v>0.18976428258461539</v>
      </c>
      <c r="L1121">
        <f>0.309948328221538*(0.3)</f>
        <v>9.2984498466461535E-2</v>
      </c>
      <c r="M1121">
        <f>0.695802369476923*(0.3)</f>
        <v>0.20874071084307691</v>
      </c>
      <c r="N1121">
        <f>0.632547608615385*(0.3)</f>
        <v>0.18976428258461539</v>
      </c>
    </row>
    <row r="1122" spans="1:14" x14ac:dyDescent="0.25">
      <c r="A1122">
        <f>1.144779581*(0.3)</f>
        <v>0.3434338743</v>
      </c>
      <c r="B1122">
        <f>-0.0880599677692308*(0.3)</f>
        <v>-2.6417990330769234E-2</v>
      </c>
      <c r="C1122">
        <f>-0.264179903307692*(0.3)</f>
        <v>-7.9253970992307701E-2</v>
      </c>
      <c r="D1122">
        <f>-0.0880599677692308*(0.3)</f>
        <v>-2.6417990330769234E-2</v>
      </c>
      <c r="E1122">
        <f>-0.0880599677692308*(0.3)</f>
        <v>-2.6417990330769234E-2</v>
      </c>
      <c r="F1122">
        <f>-0.0880599677692308*(0.3)</f>
        <v>-2.6417990330769234E-2</v>
      </c>
      <c r="G1122">
        <f>-0.0528359806615385*(0.3)</f>
        <v>-1.585079419846154E-2</v>
      </c>
      <c r="H1122">
        <f>-0.0880599677692308*(0.3)</f>
        <v>-2.6417990330769234E-2</v>
      </c>
      <c r="I1122">
        <f>-0.0880599677692308*(0.3)</f>
        <v>-2.6417990330769234E-2</v>
      </c>
      <c r="J1122">
        <f>0.0176119935538462*(0.3)</f>
        <v>5.2835980661538459E-3</v>
      </c>
      <c r="K1122">
        <f>-0.0880599677692308*(0.3)</f>
        <v>-2.6417990330769234E-2</v>
      </c>
      <c r="L1122">
        <f>-0.0431493842069231*(0.3)</f>
        <v>-1.2944815262076925E-2</v>
      </c>
      <c r="M1122">
        <f>-0.0968659645461539*(0.3)</f>
        <v>-2.9059789363846161E-2</v>
      </c>
      <c r="N1122">
        <f>-0.0880599677692308*(0.3)</f>
        <v>-2.6417990330769234E-2</v>
      </c>
    </row>
    <row r="1123" spans="1:14" x14ac:dyDescent="0.25">
      <c r="A1123">
        <f>-10.86298375*(0.3)</f>
        <v>-3.258895125</v>
      </c>
      <c r="B1123">
        <f>0.835614134615385*(0.3)</f>
        <v>0.25068424038461534</v>
      </c>
      <c r="C1123">
        <f>2.50684240384615*(0.3)</f>
        <v>0.75205272115384603</v>
      </c>
      <c r="D1123">
        <f>0.835614134615385*(0.3)</f>
        <v>0.25068424038461534</v>
      </c>
      <c r="E1123">
        <f>0.835614134615385*(0.3)</f>
        <v>0.25068424038461534</v>
      </c>
      <c r="F1123">
        <f>0.835614134615385*(0.3)</f>
        <v>0.25068424038461534</v>
      </c>
      <c r="G1123">
        <f>0.501368480769231*(0.3)</f>
        <v>0.15041054423076919</v>
      </c>
      <c r="H1123">
        <f>0.835614134615385*(0.3)</f>
        <v>0.25068424038461534</v>
      </c>
      <c r="I1123">
        <f>0.835614134615385*(0.3)</f>
        <v>0.25068424038461534</v>
      </c>
      <c r="J1123">
        <f>-0.167122826923077*(0.3)</f>
        <v>-5.0136848076923056E-2</v>
      </c>
      <c r="K1123">
        <f>0.835614134615385*(0.3)</f>
        <v>0.25068424038461534</v>
      </c>
      <c r="L1123">
        <f>0.409450925961538*(0.3)</f>
        <v>0.12283527778846152</v>
      </c>
      <c r="M1123">
        <f>0.919175548076923*(0.3)</f>
        <v>0.27575266442307694</v>
      </c>
      <c r="N1123">
        <f>0.835614134615385*(0.3)</f>
        <v>0.25068424038461534</v>
      </c>
    </row>
    <row r="1124" spans="1:14" x14ac:dyDescent="0.25">
      <c r="A1124">
        <f>-0.842186406*(0.3)</f>
        <v>-0.25265592180000002</v>
      </c>
      <c r="B1124">
        <f>0.0647835696923077*(0.3)</f>
        <v>1.9435070907692309E-2</v>
      </c>
      <c r="C1124">
        <f>0.194350709076923*(0.3)</f>
        <v>5.8305212723076927E-2</v>
      </c>
      <c r="D1124">
        <f>0.0647835696923077*(0.3)</f>
        <v>1.9435070907692309E-2</v>
      </c>
      <c r="E1124">
        <f>0.0647835696923077*(0.3)</f>
        <v>1.9435070907692309E-2</v>
      </c>
      <c r="F1124">
        <f>0.0647835696923077*(0.3)</f>
        <v>1.9435070907692309E-2</v>
      </c>
      <c r="G1124">
        <f>0.0388701418153846*(0.3)</f>
        <v>1.1661042544615386E-2</v>
      </c>
      <c r="H1124">
        <f>0.0647835696923077*(0.3)</f>
        <v>1.9435070907692309E-2</v>
      </c>
      <c r="I1124">
        <f>0.0647835696923077*(0.3)</f>
        <v>1.9435070907692309E-2</v>
      </c>
      <c r="J1124">
        <f>-0.0129567139384615*(0.3)</f>
        <v>-3.8870141815384607E-3</v>
      </c>
      <c r="K1124">
        <f>0.0647835696923077*(0.3)</f>
        <v>1.9435070907692309E-2</v>
      </c>
      <c r="L1124">
        <f>0.0317439491492308*(0.3)</f>
        <v>9.5231847447692312E-3</v>
      </c>
      <c r="M1124">
        <f>0.0712619266615385*(0.3)</f>
        <v>2.1378577998461538E-2</v>
      </c>
      <c r="N1124">
        <f>0.0647835696923077*(0.3)</f>
        <v>1.9435070907692309E-2</v>
      </c>
    </row>
    <row r="1125" spans="1:14" x14ac:dyDescent="0.25">
      <c r="A1125">
        <f>-16.83328117*(0.3)</f>
        <v>-5.049984351</v>
      </c>
      <c r="B1125">
        <f>1.29486778230769*(0.3)</f>
        <v>0.38846033469230762</v>
      </c>
      <c r="C1125">
        <f>3.88460334692308*(0.3)</f>
        <v>1.1653810040769228</v>
      </c>
      <c r="D1125">
        <f>1.29486778230769*(0.3)</f>
        <v>0.38846033469230762</v>
      </c>
      <c r="E1125">
        <f>1.29486778230769*(0.3)</f>
        <v>0.38846033469230762</v>
      </c>
      <c r="F1125">
        <f>1.29486778230769*(0.3)</f>
        <v>0.38846033469230762</v>
      </c>
      <c r="G1125">
        <f>0.776920669384615*(0.3)</f>
        <v>0.23307620081538455</v>
      </c>
      <c r="H1125">
        <f>1.29486778230769*(0.3)</f>
        <v>0.38846033469230762</v>
      </c>
      <c r="I1125">
        <f>1.29486778230769*(0.3)</f>
        <v>0.38846033469230762</v>
      </c>
      <c r="J1125">
        <f>-0.258973556461538*(0.3)</f>
        <v>-7.7692066938461507E-2</v>
      </c>
      <c r="K1125">
        <f>1.29486778230769*(0.3)</f>
        <v>0.38846033469230762</v>
      </c>
      <c r="L1125">
        <f>0.634485213330769*(0.3)</f>
        <v>0.19034556399923072</v>
      </c>
      <c r="M1125">
        <f>1.42435456053846*(0.3)</f>
        <v>0.42730636816153844</v>
      </c>
      <c r="N1125">
        <f>1.29486778230769*(0.3)</f>
        <v>0.38846033469230762</v>
      </c>
    </row>
    <row r="1126" spans="1:14" x14ac:dyDescent="0.25">
      <c r="A1126">
        <f>-1.047307812*(0.3)</f>
        <v>-0.31419234359999998</v>
      </c>
      <c r="B1126">
        <f>0.0805621393846154*(0.3)</f>
        <v>2.4168641815384612E-2</v>
      </c>
      <c r="C1126">
        <f>0.241686418153846*(0.3)</f>
        <v>7.2505925446153835E-2</v>
      </c>
      <c r="D1126">
        <f>0.0805621393846154*(0.3)</f>
        <v>2.4168641815384612E-2</v>
      </c>
      <c r="E1126">
        <f>0.0805621393846154*(0.3)</f>
        <v>2.4168641815384612E-2</v>
      </c>
      <c r="F1126">
        <f>0.0805621393846154*(0.3)</f>
        <v>2.4168641815384612E-2</v>
      </c>
      <c r="G1126">
        <f>0.0483372836307692*(0.3)</f>
        <v>1.4501185089230767E-2</v>
      </c>
      <c r="H1126">
        <f>0.0805621393846154*(0.3)</f>
        <v>2.4168641815384612E-2</v>
      </c>
      <c r="I1126">
        <f>0.0805621393846154*(0.3)</f>
        <v>2.4168641815384612E-2</v>
      </c>
      <c r="J1126">
        <f>-0.0161124278769231*(0.3)</f>
        <v>-4.8337283630769208E-3</v>
      </c>
      <c r="K1126">
        <f>0.0805621393846154*(0.3)</f>
        <v>2.4168641815384612E-2</v>
      </c>
      <c r="L1126">
        <f>0.0394754482984615*(0.3)</f>
        <v>1.1842634489538458E-2</v>
      </c>
      <c r="M1126">
        <f>0.0886183533230769*(0.3)</f>
        <v>2.6585505996923078E-2</v>
      </c>
      <c r="N1126">
        <f>0.0805621393846154*(0.3)</f>
        <v>2.4168641815384612E-2</v>
      </c>
    </row>
    <row r="1127" spans="1:14" x14ac:dyDescent="0.25">
      <c r="A1127">
        <f>-16.97182119*(0.3)</f>
        <v>-5.0915463569999995</v>
      </c>
      <c r="B1127">
        <f>1.30552470692308*(0.3)</f>
        <v>0.39165741207692306</v>
      </c>
      <c r="C1127">
        <f>3.91657412076923*(0.3)</f>
        <v>1.1749722362307693</v>
      </c>
      <c r="D1127">
        <f>1.30552470692308*(0.3)</f>
        <v>0.39165741207692306</v>
      </c>
      <c r="E1127">
        <f>1.30552470692308*(0.3)</f>
        <v>0.39165741207692306</v>
      </c>
      <c r="F1127">
        <f>1.30552470692308*(0.3)</f>
        <v>0.39165741207692306</v>
      </c>
      <c r="G1127">
        <f>0.783314824153846*(0.3)</f>
        <v>0.23499444724615381</v>
      </c>
      <c r="H1127">
        <f>1.30552470692308*(0.3)</f>
        <v>0.39165741207692306</v>
      </c>
      <c r="I1127">
        <f>1.30552470692308*(0.3)</f>
        <v>0.39165741207692306</v>
      </c>
      <c r="J1127">
        <f>-0.261104941384615*(0.3)</f>
        <v>-7.8331482415384596E-2</v>
      </c>
      <c r="K1127">
        <f>1.30552470692308*(0.3)</f>
        <v>0.39165741207692306</v>
      </c>
      <c r="L1127">
        <f>0.639707106392308*(0.3)</f>
        <v>0.1919121319176923</v>
      </c>
      <c r="M1127">
        <f>1.43607717761538*(0.3)</f>
        <v>0.4308231532846154</v>
      </c>
      <c r="N1127">
        <f>1.30552470692308*(0.3)</f>
        <v>0.39165741207692306</v>
      </c>
    </row>
    <row r="1128" spans="1:14" x14ac:dyDescent="0.25">
      <c r="A1128">
        <f>1.33597104*(0.3)</f>
        <v>0.40079131200000001</v>
      </c>
      <c r="B1128">
        <f>-0.102767003076923*(0.3)</f>
        <v>-3.083010092307692E-2</v>
      </c>
      <c r="C1128">
        <f>-0.308301009230769*(0.3)</f>
        <v>-9.2490302769230759E-2</v>
      </c>
      <c r="D1128">
        <f>-0.102767003076923*(0.3)</f>
        <v>-3.083010092307692E-2</v>
      </c>
      <c r="E1128">
        <f>-0.102767003076923*(0.3)</f>
        <v>-3.083010092307692E-2</v>
      </c>
      <c r="F1128">
        <f>-0.102767003076923*(0.3)</f>
        <v>-3.083010092307692E-2</v>
      </c>
      <c r="G1128">
        <f>-0.0616602018461538*(0.3)</f>
        <v>-1.849806055384615E-2</v>
      </c>
      <c r="H1128">
        <f>-0.102767003076923*(0.3)</f>
        <v>-3.083010092307692E-2</v>
      </c>
      <c r="I1128">
        <f>-0.102767003076923*(0.3)</f>
        <v>-3.083010092307692E-2</v>
      </c>
      <c r="J1128">
        <f>0.0205534006153846*(0.3)</f>
        <v>6.1660201846153832E-3</v>
      </c>
      <c r="K1128">
        <f>-0.102767003076923*(0.3)</f>
        <v>-3.083010092307692E-2</v>
      </c>
      <c r="L1128">
        <f>-0.0503558315076923*(0.3)</f>
        <v>-1.5106749452307692E-2</v>
      </c>
      <c r="M1128">
        <f>-0.113043703384615*(0.3)</f>
        <v>-3.3913111015384613E-2</v>
      </c>
      <c r="N1128">
        <f>-0.102767003076923*(0.3)</f>
        <v>-3.083010092307692E-2</v>
      </c>
    </row>
    <row r="1129" spans="1:14" x14ac:dyDescent="0.25">
      <c r="A1129">
        <f>-20.45007851*(0.3)</f>
        <v>-6.1350235529999999</v>
      </c>
      <c r="B1129">
        <f>1.57308296230769*(0.3)</f>
        <v>0.47192488869230764</v>
      </c>
      <c r="C1129">
        <f>4.71924888692308*(0.3)</f>
        <v>1.415774666076923</v>
      </c>
      <c r="D1129">
        <f>1.57308296230769*(0.3)</f>
        <v>0.47192488869230764</v>
      </c>
      <c r="E1129">
        <f>1.57308296230769*(0.3)</f>
        <v>0.47192488869230764</v>
      </c>
      <c r="F1129">
        <f>1.57308296230769*(0.3)</f>
        <v>0.47192488869230764</v>
      </c>
      <c r="G1129">
        <f>0.943849777384615*(0.3)</f>
        <v>0.2831549332153846</v>
      </c>
      <c r="H1129">
        <f>1.57308296230769*(0.3)</f>
        <v>0.47192488869230764</v>
      </c>
      <c r="I1129">
        <f>1.57308296230769*(0.3)</f>
        <v>0.47192488869230764</v>
      </c>
      <c r="J1129">
        <f>-0.314616592461538*(0.3)</f>
        <v>-9.4384977738461509E-2</v>
      </c>
      <c r="K1129">
        <f>1.57308296230769*(0.3)</f>
        <v>0.47192488869230764</v>
      </c>
      <c r="L1129">
        <f>0.770810651530769*(0.3)</f>
        <v>0.23124319545923075</v>
      </c>
      <c r="M1129">
        <f>1.73039125853846*(0.3)</f>
        <v>0.51911737756153853</v>
      </c>
      <c r="N1129">
        <f>1.57308296230769*(0.3)</f>
        <v>0.47192488869230764</v>
      </c>
    </row>
    <row r="1130" spans="1:14" x14ac:dyDescent="0.25">
      <c r="A1130">
        <f>-1.422795738*(0.3)</f>
        <v>-0.42683872140000001</v>
      </c>
      <c r="B1130">
        <f>0.109445826*(0.3)</f>
        <v>3.28337478E-2</v>
      </c>
      <c r="C1130">
        <f>0.328337478*(0.3)</f>
        <v>9.8501243400000008E-2</v>
      </c>
      <c r="D1130">
        <f>0.109445826*(0.3)</f>
        <v>3.28337478E-2</v>
      </c>
      <c r="E1130">
        <f>0.109445826*(0.3)</f>
        <v>3.28337478E-2</v>
      </c>
      <c r="F1130">
        <f>0.109445826*(0.3)</f>
        <v>3.28337478E-2</v>
      </c>
      <c r="G1130">
        <f>0.0656674956*(0.3)</f>
        <v>1.9700248680000001E-2</v>
      </c>
      <c r="H1130">
        <f>0.109445826*(0.3)</f>
        <v>3.28337478E-2</v>
      </c>
      <c r="I1130">
        <f>0.109445826*(0.3)</f>
        <v>3.28337478E-2</v>
      </c>
      <c r="J1130">
        <f>-0.0218891652*(0.3)</f>
        <v>-6.566749559999998E-3</v>
      </c>
      <c r="K1130">
        <f>0.109445826*(0.3)</f>
        <v>3.28337478E-2</v>
      </c>
      <c r="L1130">
        <f>0.05362845474*(0.3)</f>
        <v>1.6088536421999998E-2</v>
      </c>
      <c r="M1130">
        <f>0.1203904086*(0.3)</f>
        <v>3.6117122580000001E-2</v>
      </c>
      <c r="N1130">
        <f>0.109445826*(0.3)</f>
        <v>3.28337478E-2</v>
      </c>
    </row>
    <row r="1131" spans="1:14" x14ac:dyDescent="0.25">
      <c r="A1131">
        <f>-23.66625562*(0.3)</f>
        <v>-7.099876686</v>
      </c>
      <c r="B1131">
        <f>1.82048120153846*(0.3)</f>
        <v>0.54614436046153847</v>
      </c>
      <c r="C1131">
        <f>5.46144360461539*(0.3)</f>
        <v>1.6384330813846155</v>
      </c>
      <c r="D1131">
        <f>1.82048120153846*(0.3)</f>
        <v>0.54614436046153847</v>
      </c>
      <c r="E1131">
        <f>1.82048120153846*(0.3)</f>
        <v>0.54614436046153847</v>
      </c>
      <c r="F1131">
        <f>1.82048120153846*(0.3)</f>
        <v>0.54614436046153847</v>
      </c>
      <c r="G1131">
        <f>1.09228872092308*(0.3)</f>
        <v>0.32768661627692308</v>
      </c>
      <c r="H1131">
        <f>1.82048120153846*(0.3)</f>
        <v>0.54614436046153847</v>
      </c>
      <c r="I1131">
        <f>1.82048120153846*(0.3)</f>
        <v>0.54614436046153847</v>
      </c>
      <c r="J1131">
        <f>-0.364096240307692*(0.3)</f>
        <v>-0.10922887209230768</v>
      </c>
      <c r="K1131">
        <f>1.82048120153846*(0.3)</f>
        <v>0.54614436046153847</v>
      </c>
      <c r="L1131">
        <f>0.892035788753846*(0.3)</f>
        <v>0.26761073662615387</v>
      </c>
      <c r="M1131">
        <f>2.00252932169231*(0.3)</f>
        <v>0.60075879650769237</v>
      </c>
      <c r="N1131">
        <f>1.82048120153846*(0.3)</f>
        <v>0.54614436046153847</v>
      </c>
    </row>
    <row r="1132" spans="1:14" x14ac:dyDescent="0.25">
      <c r="A1132">
        <f>0.397260141*(0.3)</f>
        <v>0.11917804229999999</v>
      </c>
      <c r="B1132">
        <f>-0.0305584723846154*(0.3)</f>
        <v>-9.1675417153846157E-3</v>
      </c>
      <c r="C1132">
        <f>-0.0916754171538462*(0.3)</f>
        <v>-2.7502625146153845E-2</v>
      </c>
      <c r="D1132">
        <f>-0.0305584723846154*(0.3)</f>
        <v>-9.1675417153846157E-3</v>
      </c>
      <c r="E1132">
        <f>-0.0305584723846154*(0.3)</f>
        <v>-9.1675417153846157E-3</v>
      </c>
      <c r="F1132">
        <f>-0.0305584723846154*(0.3)</f>
        <v>-9.1675417153846157E-3</v>
      </c>
      <c r="G1132">
        <f>-0.0183350834307692*(0.3)</f>
        <v>-5.5005250292307689E-3</v>
      </c>
      <c r="H1132">
        <f>-0.0305584723846154*(0.3)</f>
        <v>-9.1675417153846157E-3</v>
      </c>
      <c r="I1132">
        <f>-0.0305584723846154*(0.3)</f>
        <v>-9.1675417153846157E-3</v>
      </c>
      <c r="J1132">
        <f>0.00611169447692308*(0.3)</f>
        <v>1.8335083430769225E-3</v>
      </c>
      <c r="K1132">
        <f>-0.0305584723846154*(0.3)</f>
        <v>-9.1675417153846157E-3</v>
      </c>
      <c r="L1132">
        <f>-0.0149736514684615*(0.3)</f>
        <v>-4.4920954405384614E-3</v>
      </c>
      <c r="M1132">
        <f>-0.0336143196230769*(0.3)</f>
        <v>-1.0084295886923078E-2</v>
      </c>
      <c r="N1132">
        <f>-0.0305584723846154*(0.3)</f>
        <v>-9.1675417153846157E-3</v>
      </c>
    </row>
    <row r="1133" spans="1:14" x14ac:dyDescent="0.25">
      <c r="A1133">
        <f>-32.68253818*(0.3)</f>
        <v>-9.8047614539999994</v>
      </c>
      <c r="B1133">
        <f>2.51404139846154*(0.3)</f>
        <v>0.75421241953846152</v>
      </c>
      <c r="C1133">
        <f>7.54212419538462*(0.3)</f>
        <v>2.2626372586153849</v>
      </c>
      <c r="D1133">
        <f>2.51404139846154*(0.3)</f>
        <v>0.75421241953846152</v>
      </c>
      <c r="E1133">
        <f>2.51404139846154*(0.3)</f>
        <v>0.75421241953846152</v>
      </c>
      <c r="F1133">
        <f>2.51404139846154*(0.3)</f>
        <v>0.75421241953846152</v>
      </c>
      <c r="G1133">
        <f>1.50842483907692*(0.3)</f>
        <v>0.4525274517230769</v>
      </c>
      <c r="H1133">
        <f>2.51404139846154*(0.3)</f>
        <v>0.75421241953846152</v>
      </c>
      <c r="I1133">
        <f>2.51404139846154*(0.3)</f>
        <v>0.75421241953846152</v>
      </c>
      <c r="J1133">
        <f>-0.502808279692308*(0.3)</f>
        <v>-0.15084248390769225</v>
      </c>
      <c r="K1133">
        <f>2.51404139846154*(0.3)</f>
        <v>0.75421241953846152</v>
      </c>
      <c r="L1133">
        <f>1.23188028524615*(0.3)</f>
        <v>0.36956408557384618</v>
      </c>
      <c r="M1133">
        <f>2.76544553830769*(0.3)</f>
        <v>0.82963366149230777</v>
      </c>
      <c r="N1133">
        <f>2.51404139846154*(0.3)</f>
        <v>0.75421241953846152</v>
      </c>
    </row>
    <row r="1134" spans="1:14" x14ac:dyDescent="0.25">
      <c r="A1134">
        <f>-0.287290606*(0.3)</f>
        <v>-8.6187181799999998E-2</v>
      </c>
      <c r="B1134">
        <f>0.0220992773846154*(0.3)</f>
        <v>6.6297832153846157E-3</v>
      </c>
      <c r="C1134">
        <f>0.0662978321538462*(0.3)</f>
        <v>1.9889349646153846E-2</v>
      </c>
      <c r="D1134">
        <f>0.0220992773846154*(0.3)</f>
        <v>6.6297832153846157E-3</v>
      </c>
      <c r="E1134">
        <f>0.0220992773846154*(0.3)</f>
        <v>6.6297832153846157E-3</v>
      </c>
      <c r="F1134">
        <f>0.0220992773846154*(0.3)</f>
        <v>6.6297832153846157E-3</v>
      </c>
      <c r="G1134">
        <f>0.0132595664307692*(0.3)</f>
        <v>3.9778699292307689E-3</v>
      </c>
      <c r="H1134">
        <f>0.0220992773846154*(0.3)</f>
        <v>6.6297832153846157E-3</v>
      </c>
      <c r="I1134">
        <f>0.0220992773846154*(0.3)</f>
        <v>6.6297832153846157E-3</v>
      </c>
      <c r="J1134">
        <f>-0.00441985547692308*(0.3)</f>
        <v>-1.3259566430769228E-3</v>
      </c>
      <c r="K1134">
        <f>0.0220992773846154*(0.3)</f>
        <v>6.6297832153846157E-3</v>
      </c>
      <c r="L1134">
        <f>0.0108286459184615*(0.3)</f>
        <v>3.2485937755384617E-3</v>
      </c>
      <c r="M1134">
        <f>0.0243092051230769*(0.3)</f>
        <v>7.2927615369230772E-3</v>
      </c>
      <c r="N1134">
        <f>0.0220992773846154*(0.3)</f>
        <v>6.6297832153846157E-3</v>
      </c>
    </row>
    <row r="1135" spans="1:14" x14ac:dyDescent="0.25">
      <c r="A1135">
        <f>-35.0546599*(0.3)</f>
        <v>-10.516397969999998</v>
      </c>
      <c r="B1135">
        <f>2.6965123*(0.3)</f>
        <v>0.80895368999999995</v>
      </c>
      <c r="C1135">
        <f>8.0895369*(0.3)</f>
        <v>2.4268610699999997</v>
      </c>
      <c r="D1135">
        <f>2.6965123*(0.3)</f>
        <v>0.80895368999999995</v>
      </c>
      <c r="E1135">
        <f>2.6965123*(0.3)</f>
        <v>0.80895368999999995</v>
      </c>
      <c r="F1135">
        <f>2.6965123*(0.3)</f>
        <v>0.80895368999999995</v>
      </c>
      <c r="G1135">
        <f>1.61790738*(0.3)</f>
        <v>0.48537221399999997</v>
      </c>
      <c r="H1135">
        <f>2.6965123*(0.3)</f>
        <v>0.80895368999999995</v>
      </c>
      <c r="I1135">
        <f>2.6965123*(0.3)</f>
        <v>0.80895368999999995</v>
      </c>
      <c r="J1135">
        <f>-0.53930246*(0.3)</f>
        <v>-0.16179073799999993</v>
      </c>
      <c r="K1135">
        <f>2.6965123*(0.3)</f>
        <v>0.80895368999999995</v>
      </c>
      <c r="L1135">
        <f>1.321291027*(0.3)</f>
        <v>0.39638730809999995</v>
      </c>
      <c r="M1135">
        <f>2.96616353*(0.3)</f>
        <v>0.88984905899999989</v>
      </c>
      <c r="N1135">
        <f>2.6965123*(0.3)</f>
        <v>0.80895368999999995</v>
      </c>
    </row>
    <row r="1136" spans="1:14" x14ac:dyDescent="0.25">
      <c r="A1136">
        <f>2.813781086*(0.3)</f>
        <v>0.84413432580000003</v>
      </c>
      <c r="B1136">
        <f>-0.216444698923077*(0.3)</f>
        <v>-6.4933409676923085E-2</v>
      </c>
      <c r="C1136">
        <f>-0.649334096769231*(0.3)</f>
        <v>-0.19480022903076924</v>
      </c>
      <c r="D1136">
        <f>-0.216444698923077*(0.3)</f>
        <v>-6.4933409676923085E-2</v>
      </c>
      <c r="E1136">
        <f>-0.216444698923077*(0.3)</f>
        <v>-6.4933409676923085E-2</v>
      </c>
      <c r="F1136">
        <f>-0.216444698923077*(0.3)</f>
        <v>-6.4933409676923085E-2</v>
      </c>
      <c r="G1136">
        <f>-0.129866819353846*(0.3)</f>
        <v>-3.8960045806153851E-2</v>
      </c>
      <c r="H1136">
        <f>-0.216444698923077*(0.3)</f>
        <v>-6.4933409676923085E-2</v>
      </c>
      <c r="I1136">
        <f>-0.216444698923077*(0.3)</f>
        <v>-6.4933409676923085E-2</v>
      </c>
      <c r="J1136">
        <f>0.0432889397846154*(0.3)</f>
        <v>1.2986681935384613E-2</v>
      </c>
      <c r="K1136">
        <f>-0.216444698923077*(0.3)</f>
        <v>-6.4933409676923085E-2</v>
      </c>
      <c r="L1136">
        <f>-0.106057902472308*(0.3)</f>
        <v>-3.1817370741692309E-2</v>
      </c>
      <c r="M1136">
        <f>-0.238089168815385*(0.3)</f>
        <v>-7.1426750644615386E-2</v>
      </c>
      <c r="N1136">
        <f>-0.216444698923077*(0.3)</f>
        <v>-6.4933409676923085E-2</v>
      </c>
    </row>
    <row r="1137" spans="1:14" x14ac:dyDescent="0.25">
      <c r="A1137">
        <f>-10.19219221*(0.3)</f>
        <v>-3.0576576630000001</v>
      </c>
      <c r="B1137">
        <f>0.784014785384615*(0.3)</f>
        <v>0.23520443561538459</v>
      </c>
      <c r="C1137">
        <f>2.35204435615385*(0.3)</f>
        <v>0.70561330684615386</v>
      </c>
      <c r="D1137">
        <f>0.784014785384615*(0.3)</f>
        <v>0.23520443561538459</v>
      </c>
      <c r="E1137">
        <f>0.784014785384615*(0.3)</f>
        <v>0.23520443561538459</v>
      </c>
      <c r="F1137">
        <f>0.784014785384615*(0.3)</f>
        <v>0.23520443561538459</v>
      </c>
      <c r="G1137">
        <f>0.470408871230769*(0.3)</f>
        <v>0.14112266136923074</v>
      </c>
      <c r="H1137">
        <f>0.784014785384615*(0.3)</f>
        <v>0.23520443561538459</v>
      </c>
      <c r="I1137">
        <f>0.784014785384615*(0.3)</f>
        <v>0.23520443561538459</v>
      </c>
      <c r="J1137">
        <f>-0.156802957076923*(0.3)</f>
        <v>-4.7040887123076913E-2</v>
      </c>
      <c r="K1137">
        <f>0.784014785384615*(0.3)</f>
        <v>0.23520443561538459</v>
      </c>
      <c r="L1137">
        <f>0.384167244838461*(0.3)</f>
        <v>0.11525017345153844</v>
      </c>
      <c r="M1137">
        <f>0.862416263923077*(0.3)</f>
        <v>0.25872487917692305</v>
      </c>
      <c r="N1137">
        <f>0.784014785384615*(0.3)</f>
        <v>0.23520443561538459</v>
      </c>
    </row>
    <row r="1138" spans="1:14" x14ac:dyDescent="0.25">
      <c r="A1138">
        <f>-0.440733792*(0.3)</f>
        <v>-0.13222013760000001</v>
      </c>
      <c r="B1138">
        <f>0.0339025993846154*(0.3)</f>
        <v>1.0170779815384615E-2</v>
      </c>
      <c r="C1138">
        <f>0.101707798153846*(0.3)</f>
        <v>3.0512339446153846E-2</v>
      </c>
      <c r="D1138">
        <f>0.0339025993846154*(0.3)</f>
        <v>1.0170779815384615E-2</v>
      </c>
      <c r="E1138">
        <f>0.0339025993846154*(0.3)</f>
        <v>1.0170779815384615E-2</v>
      </c>
      <c r="F1138">
        <f>0.0339025993846154*(0.3)</f>
        <v>1.0170779815384615E-2</v>
      </c>
      <c r="G1138">
        <f>0.0203415596307692*(0.3)</f>
        <v>6.1024678892307692E-3</v>
      </c>
      <c r="H1138">
        <f>0.0339025993846154*(0.3)</f>
        <v>1.0170779815384615E-2</v>
      </c>
      <c r="I1138">
        <f>0.0339025993846154*(0.3)</f>
        <v>1.0170779815384615E-2</v>
      </c>
      <c r="J1138">
        <f>-0.00678051987692308*(0.3)</f>
        <v>-2.0341559630769226E-3</v>
      </c>
      <c r="K1138">
        <f>0.0339025993846154*(0.3)</f>
        <v>1.0170779815384615E-2</v>
      </c>
      <c r="L1138">
        <f>0.0166122736984615*(0.3)</f>
        <v>4.9836821095384613E-3</v>
      </c>
      <c r="M1138">
        <f>0.0372928593230769*(0.3)</f>
        <v>1.1187857796923079E-2</v>
      </c>
      <c r="N1138">
        <f>0.0339025993846154*(0.3)</f>
        <v>1.0170779815384615E-2</v>
      </c>
    </row>
    <row r="1139" spans="1:14" x14ac:dyDescent="0.25">
      <c r="A1139">
        <f>-10.4436955*(0.3)</f>
        <v>-3.1331086500000001</v>
      </c>
      <c r="B1139">
        <f>0.803361192307692*(0.3)</f>
        <v>0.24100835769230769</v>
      </c>
      <c r="C1139">
        <f>2.41008357692308*(0.3)</f>
        <v>0.7230250730769231</v>
      </c>
      <c r="D1139">
        <f>0.803361192307692*(0.3)</f>
        <v>0.24100835769230769</v>
      </c>
      <c r="E1139">
        <f>0.803361192307692*(0.3)</f>
        <v>0.24100835769230769</v>
      </c>
      <c r="F1139">
        <f>0.803361192307692*(0.3)</f>
        <v>0.24100835769230769</v>
      </c>
      <c r="G1139">
        <f>0.482016715384615*(0.3)</f>
        <v>0.14460501461538461</v>
      </c>
      <c r="H1139">
        <f>0.803361192307692*(0.3)</f>
        <v>0.24100835769230769</v>
      </c>
      <c r="I1139">
        <f>0.803361192307692*(0.3)</f>
        <v>0.24100835769230769</v>
      </c>
      <c r="J1139">
        <f>-0.160672238461538*(0.3)</f>
        <v>-4.8201671538461534E-2</v>
      </c>
      <c r="K1139">
        <f>0.803361192307692*(0.3)</f>
        <v>0.24100835769230769</v>
      </c>
      <c r="L1139">
        <f>0.393646984230769*(0.3)</f>
        <v>0.11809409526923076</v>
      </c>
      <c r="M1139">
        <f>0.883697311538462*(0.3)</f>
        <v>0.26510919346153849</v>
      </c>
      <c r="N1139">
        <f>0.803361192307692*(0.3)</f>
        <v>0.24100835769230769</v>
      </c>
    </row>
    <row r="1140" spans="1:14" x14ac:dyDescent="0.25">
      <c r="A1140">
        <f>-2.162818309*(0.3)</f>
        <v>-0.64884549269999992</v>
      </c>
      <c r="B1140">
        <f>0.166370639153846*(0.3)</f>
        <v>4.9911191746153841E-2</v>
      </c>
      <c r="C1140">
        <f>0.499111917461538*(0.3)</f>
        <v>0.14973357523846154</v>
      </c>
      <c r="D1140">
        <f>0.166370639153846*(0.3)</f>
        <v>4.9911191746153841E-2</v>
      </c>
      <c r="E1140">
        <f>0.166370639153846*(0.3)</f>
        <v>4.9911191746153841E-2</v>
      </c>
      <c r="F1140">
        <f>0.166370639153846*(0.3)</f>
        <v>4.9911191746153841E-2</v>
      </c>
      <c r="G1140">
        <f>0.0998223834923077*(0.3)</f>
        <v>2.9946715047692304E-2</v>
      </c>
      <c r="H1140">
        <f>0.166370639153846*(0.3)</f>
        <v>4.9911191746153841E-2</v>
      </c>
      <c r="I1140">
        <f>0.166370639153846*(0.3)</f>
        <v>4.9911191746153841E-2</v>
      </c>
      <c r="J1140">
        <f>-0.0332741278307692*(0.3)</f>
        <v>-9.9822383492307667E-3</v>
      </c>
      <c r="K1140">
        <f>0.166370639153846*(0.3)</f>
        <v>4.9911191746153841E-2</v>
      </c>
      <c r="L1140">
        <f>0.0815216131853846*(0.3)</f>
        <v>2.445648395561538E-2</v>
      </c>
      <c r="M1140">
        <f>0.183007703069231*(0.3)</f>
        <v>5.4902310920769234E-2</v>
      </c>
      <c r="N1140">
        <f>0.166370639153846*(0.3)</f>
        <v>4.9911191746153841E-2</v>
      </c>
    </row>
    <row r="1141" spans="1:14" x14ac:dyDescent="0.25">
      <c r="A1141">
        <f>-13.87087867*(0.3)</f>
        <v>-4.1612636009999999</v>
      </c>
      <c r="B1141">
        <f>1.06699066692308*(0.3)</f>
        <v>0.32009720007692305</v>
      </c>
      <c r="C1141">
        <f>3.20097200076923*(0.3)</f>
        <v>0.96029160023076909</v>
      </c>
      <c r="D1141">
        <f>1.06699066692308*(0.3)</f>
        <v>0.32009720007692305</v>
      </c>
      <c r="E1141">
        <f>1.06699066692308*(0.3)</f>
        <v>0.32009720007692305</v>
      </c>
      <c r="F1141">
        <f>1.06699066692308*(0.3)</f>
        <v>0.32009720007692305</v>
      </c>
      <c r="G1141">
        <f>0.640194400153846*(0.3)</f>
        <v>0.19205832004615384</v>
      </c>
      <c r="H1141">
        <f>1.06699066692308*(0.3)</f>
        <v>0.32009720007692305</v>
      </c>
      <c r="I1141">
        <f>1.06699066692308*(0.3)</f>
        <v>0.32009720007692305</v>
      </c>
      <c r="J1141">
        <f>-0.213398133384615*(0.3)</f>
        <v>-6.4019440015384593E-2</v>
      </c>
      <c r="K1141">
        <f>1.06699066692308*(0.3)</f>
        <v>0.32009720007692305</v>
      </c>
      <c r="L1141">
        <f>0.522825426792308*(0.3)</f>
        <v>0.15684762803769231</v>
      </c>
      <c r="M1141">
        <f>1.17368973361538*(0.3)</f>
        <v>0.35210692008461536</v>
      </c>
      <c r="N1141">
        <f>1.06699066692308*(0.3)</f>
        <v>0.32009720007692305</v>
      </c>
    </row>
    <row r="1142" spans="1:14" x14ac:dyDescent="0.25">
      <c r="A1142">
        <f>-0.081028102*(0.3)</f>
        <v>-2.43084306E-2</v>
      </c>
      <c r="B1142">
        <f>0.00623293092307692*(0.3)</f>
        <v>1.869879276923077E-3</v>
      </c>
      <c r="C1142">
        <f>0.0186987927692308*(0.3)</f>
        <v>5.6096378307692301E-3</v>
      </c>
      <c r="D1142">
        <f>0.00623293092307692*(0.3)</f>
        <v>1.869879276923077E-3</v>
      </c>
      <c r="E1142">
        <f>0.00623293092307692*(0.3)</f>
        <v>1.869879276923077E-3</v>
      </c>
      <c r="F1142">
        <f>0.00623293092307692*(0.3)</f>
        <v>1.869879276923077E-3</v>
      </c>
      <c r="G1142">
        <f>0.00373975855384615*(0.3)</f>
        <v>1.1219275661538462E-3</v>
      </c>
      <c r="H1142">
        <f>0.00623293092307692*(0.3)</f>
        <v>1.869879276923077E-3</v>
      </c>
      <c r="I1142">
        <f>0.00623293092307692*(0.3)</f>
        <v>1.869879276923077E-3</v>
      </c>
      <c r="J1142">
        <f>-0.00124658618461538*(0.3)</f>
        <v>-3.7397585538461532E-4</v>
      </c>
      <c r="K1142">
        <f>0.00623293092307692*(0.3)</f>
        <v>1.869879276923077E-3</v>
      </c>
      <c r="L1142">
        <f>0.00305413615230769*(0.3)</f>
        <v>9.1624084569230766E-4</v>
      </c>
      <c r="M1142">
        <f>0.00685622401538462*(0.3)</f>
        <v>2.0568672046153849E-3</v>
      </c>
      <c r="N1142">
        <f>0.00623293092307692*(0.3)</f>
        <v>1.869879276923077E-3</v>
      </c>
    </row>
    <row r="1143" spans="1:14" x14ac:dyDescent="0.25">
      <c r="A1143">
        <f>-21.81970676*(0.3)</f>
        <v>-6.5459120279999992</v>
      </c>
      <c r="B1143">
        <f>1.67843898153846*(0.3)</f>
        <v>0.50353169446153845</v>
      </c>
      <c r="C1143">
        <f>5.03531694461538*(0.3)</f>
        <v>1.5105950833846153</v>
      </c>
      <c r="D1143">
        <f>1.67843898153846*(0.3)</f>
        <v>0.50353169446153845</v>
      </c>
      <c r="E1143">
        <f>1.67843898153846*(0.3)</f>
        <v>0.50353169446153845</v>
      </c>
      <c r="F1143">
        <f>1.67843898153846*(0.3)</f>
        <v>0.50353169446153845</v>
      </c>
      <c r="G1143">
        <f>1.00706338892308*(0.3)</f>
        <v>0.30211901667692304</v>
      </c>
      <c r="H1143">
        <f>1.67843898153846*(0.3)</f>
        <v>0.50353169446153845</v>
      </c>
      <c r="I1143">
        <f>1.67843898153846*(0.3)</f>
        <v>0.50353169446153845</v>
      </c>
      <c r="J1143">
        <f>-0.335687796307692*(0.3)</f>
        <v>-0.10070633889230766</v>
      </c>
      <c r="K1143">
        <f>1.67843898153846*(0.3)</f>
        <v>0.50353169446153845</v>
      </c>
      <c r="L1143">
        <f>0.822435100953846*(0.3)</f>
        <v>0.24673053028615383</v>
      </c>
      <c r="M1143">
        <f>1.84628287969231*(0.3)</f>
        <v>0.55388486390769232</v>
      </c>
      <c r="N1143">
        <f>1.67843898153846*(0.3)</f>
        <v>0.50353169446153845</v>
      </c>
    </row>
    <row r="1144" spans="1:14" x14ac:dyDescent="0.25">
      <c r="A1144">
        <f>1.263458523*(0.3)</f>
        <v>0.37903755689999996</v>
      </c>
      <c r="B1144">
        <f>-0.0971891171538461*(0.3)</f>
        <v>-2.9156735146153842E-2</v>
      </c>
      <c r="C1144">
        <f>-0.291567351461538*(0.3)</f>
        <v>-8.7470205438461526E-2</v>
      </c>
      <c r="D1144">
        <f>-0.0971891171538461*(0.3)</f>
        <v>-2.9156735146153842E-2</v>
      </c>
      <c r="E1144">
        <f>-0.0971891171538461*(0.3)</f>
        <v>-2.9156735146153842E-2</v>
      </c>
      <c r="F1144">
        <f>-0.0971891171538461*(0.3)</f>
        <v>-2.9156735146153842E-2</v>
      </c>
      <c r="G1144">
        <f>-0.0583134702923077*(0.3)</f>
        <v>-1.7494041087692303E-2</v>
      </c>
      <c r="H1144">
        <f>-0.0971891171538461*(0.3)</f>
        <v>-2.9156735146153842E-2</v>
      </c>
      <c r="I1144">
        <f>-0.0971891171538461*(0.3)</f>
        <v>-2.9156735146153842E-2</v>
      </c>
      <c r="J1144">
        <f>0.0194378234307692*(0.3)</f>
        <v>5.8313470292307677E-3</v>
      </c>
      <c r="K1144">
        <f>-0.0971891171538461*(0.3)</f>
        <v>-2.9156735146153842E-2</v>
      </c>
      <c r="L1144">
        <f>-0.0476226674053846*(0.3)</f>
        <v>-1.4286800221615385E-2</v>
      </c>
      <c r="M1144">
        <f>-0.106908028869231*(0.3)</f>
        <v>-3.2072408660769228E-2</v>
      </c>
      <c r="N1144">
        <f>-0.0971891171538461*(0.3)</f>
        <v>-2.9156735146153842E-2</v>
      </c>
    </row>
    <row r="1145" spans="1:14" x14ac:dyDescent="0.25">
      <c r="A1145">
        <f>-25.33575219*(0.3)</f>
        <v>-7.6007256569999999</v>
      </c>
      <c r="B1145">
        <f>1.94890401461538*(0.3)</f>
        <v>0.58467120438461539</v>
      </c>
      <c r="C1145">
        <f>5.84671204384615*(0.3)</f>
        <v>1.754013613153846</v>
      </c>
      <c r="D1145">
        <f>1.94890401461538*(0.3)</f>
        <v>0.58467120438461539</v>
      </c>
      <c r="E1145">
        <f>1.94890401461538*(0.3)</f>
        <v>0.58467120438461539</v>
      </c>
      <c r="F1145">
        <f>1.94890401461538*(0.3)</f>
        <v>0.58467120438461539</v>
      </c>
      <c r="G1145">
        <f>1.16934240876923*(0.3)</f>
        <v>0.35080272263076923</v>
      </c>
      <c r="H1145">
        <f>1.94890401461538*(0.3)</f>
        <v>0.58467120438461539</v>
      </c>
      <c r="I1145">
        <f>1.94890401461538*(0.3)</f>
        <v>0.58467120438461539</v>
      </c>
      <c r="J1145">
        <f>-0.389780802923077*(0.3)</f>
        <v>-0.11693424087692304</v>
      </c>
      <c r="K1145">
        <f>1.94890401461538*(0.3)</f>
        <v>0.58467120438461539</v>
      </c>
      <c r="L1145">
        <f>0.954962967161539*(0.3)</f>
        <v>0.28648889014846152</v>
      </c>
      <c r="M1145">
        <f>2.14379441607692*(0.3)</f>
        <v>0.64313832482307698</v>
      </c>
      <c r="N1145">
        <f>1.94890401461538*(0.3)</f>
        <v>0.58467120438461539</v>
      </c>
    </row>
    <row r="1146" spans="1:14" x14ac:dyDescent="0.25">
      <c r="A1146">
        <f>1.967951518*(0.3)</f>
        <v>0.59038545539999998</v>
      </c>
      <c r="B1146">
        <f>-0.151380886*(0.3)</f>
        <v>-4.5414265799999999E-2</v>
      </c>
      <c r="C1146">
        <f>-0.454142658*(0.3)</f>
        <v>-0.13624279739999998</v>
      </c>
      <c r="D1146">
        <f>-0.151380886*(0.3)</f>
        <v>-4.5414265799999999E-2</v>
      </c>
      <c r="E1146">
        <f>-0.151380886*(0.3)</f>
        <v>-4.5414265799999999E-2</v>
      </c>
      <c r="F1146">
        <f>-0.151380886*(0.3)</f>
        <v>-4.5414265799999999E-2</v>
      </c>
      <c r="G1146">
        <f>-0.0908285316*(0.3)</f>
        <v>-2.724855948E-2</v>
      </c>
      <c r="H1146">
        <f>-0.151380886*(0.3)</f>
        <v>-4.5414265799999999E-2</v>
      </c>
      <c r="I1146">
        <f>-0.151380886*(0.3)</f>
        <v>-4.5414265799999999E-2</v>
      </c>
      <c r="J1146">
        <f>0.0302761772*(0.3)</f>
        <v>9.082853159999996E-3</v>
      </c>
      <c r="K1146">
        <f>-0.151380886*(0.3)</f>
        <v>-4.5414265799999999E-2</v>
      </c>
      <c r="L1146">
        <f>-0.07417663414*(0.3)</f>
        <v>-2.2252990241999997E-2</v>
      </c>
      <c r="M1146">
        <f>-0.1665189746*(0.3)</f>
        <v>-4.995569238E-2</v>
      </c>
      <c r="N1146">
        <f>-0.151380886*(0.3)</f>
        <v>-4.5414265799999999E-2</v>
      </c>
    </row>
    <row r="1147" spans="1:14" x14ac:dyDescent="0.25">
      <c r="A1147">
        <f>-31.1107153*(0.3)</f>
        <v>-9.333214589999999</v>
      </c>
      <c r="B1147">
        <f>2.39313194615385*(0.3)</f>
        <v>0.71793958384615386</v>
      </c>
      <c r="C1147">
        <f>7.17939583846154*(0.3)</f>
        <v>2.1538187515384615</v>
      </c>
      <c r="D1147">
        <f>2.39313194615385*(0.3)</f>
        <v>0.71793958384615386</v>
      </c>
      <c r="E1147">
        <f>2.39313194615385*(0.3)</f>
        <v>0.71793958384615386</v>
      </c>
      <c r="F1147">
        <f>2.39313194615385*(0.3)</f>
        <v>0.71793958384615386</v>
      </c>
      <c r="G1147">
        <f>1.43587916769231*(0.3)</f>
        <v>0.43076375030769232</v>
      </c>
      <c r="H1147">
        <f>2.39313194615385*(0.3)</f>
        <v>0.71793958384615386</v>
      </c>
      <c r="I1147">
        <f>2.39313194615385*(0.3)</f>
        <v>0.71793958384615386</v>
      </c>
      <c r="J1147">
        <f>-0.478626389230769*(0.3)</f>
        <v>-0.14358791676923074</v>
      </c>
      <c r="K1147">
        <f>2.39313194615385*(0.3)</f>
        <v>0.71793958384615386</v>
      </c>
      <c r="L1147">
        <f>1.17263465361538*(0.3)</f>
        <v>0.35179039608461538</v>
      </c>
      <c r="M1147">
        <f>2.63244514076923*(0.3)</f>
        <v>0.7897335422307693</v>
      </c>
      <c r="N1147">
        <f>2.39313194615385*(0.3)</f>
        <v>0.71793958384615386</v>
      </c>
    </row>
    <row r="1148" spans="1:14" x14ac:dyDescent="0.25">
      <c r="A1148">
        <f>0.378751223*(0.3)</f>
        <v>0.1136253669</v>
      </c>
      <c r="B1148">
        <f>-0.0291347094615385*(0.3)</f>
        <v>-8.7404128384615375E-3</v>
      </c>
      <c r="C1148">
        <f>-0.0874041283846154*(0.3)</f>
        <v>-2.6221238515384618E-2</v>
      </c>
      <c r="D1148">
        <f>-0.0291347094615385*(0.3)</f>
        <v>-8.7404128384615375E-3</v>
      </c>
      <c r="E1148">
        <f>-0.0291347094615385*(0.3)</f>
        <v>-8.7404128384615375E-3</v>
      </c>
      <c r="F1148">
        <f>-0.0291347094615385*(0.3)</f>
        <v>-8.7404128384615375E-3</v>
      </c>
      <c r="G1148">
        <f>-0.0174808256769231*(0.3)</f>
        <v>-5.2442477030769227E-3</v>
      </c>
      <c r="H1148">
        <f>-0.0291347094615385*(0.3)</f>
        <v>-8.7404128384615375E-3</v>
      </c>
      <c r="I1148">
        <f>-0.0291347094615385*(0.3)</f>
        <v>-8.7404128384615375E-3</v>
      </c>
      <c r="J1148">
        <f>0.00582694189230769*(0.3)</f>
        <v>1.7480825676923072E-3</v>
      </c>
      <c r="K1148">
        <f>-0.0291347094615385*(0.3)</f>
        <v>-8.7404128384615375E-3</v>
      </c>
      <c r="L1148">
        <f>-0.0142760076361538*(0.3)</f>
        <v>-4.2828022908461541E-3</v>
      </c>
      <c r="M1148">
        <f>-0.0320481804076923*(0.3)</f>
        <v>-9.6144541223076932E-3</v>
      </c>
      <c r="N1148">
        <f>-0.0291347094615385*(0.3)</f>
        <v>-8.7404128384615375E-3</v>
      </c>
    </row>
    <row r="1149" spans="1:14" x14ac:dyDescent="0.25">
      <c r="A1149">
        <f>-35.24721321*(0.3)</f>
        <v>-10.574163962999998</v>
      </c>
      <c r="B1149">
        <f>2.71132409307692*(0.3)</f>
        <v>0.81339722792307689</v>
      </c>
      <c r="C1149">
        <f>8.13397227923077*(0.3)</f>
        <v>2.4401916837692306</v>
      </c>
      <c r="D1149">
        <f>2.71132409307692*(0.3)</f>
        <v>0.81339722792307689</v>
      </c>
      <c r="E1149">
        <f>2.71132409307692*(0.3)</f>
        <v>0.81339722792307689</v>
      </c>
      <c r="F1149">
        <f>2.71132409307692*(0.3)</f>
        <v>0.81339722792307689</v>
      </c>
      <c r="G1149">
        <f>1.62679445584615*(0.3)</f>
        <v>0.48803833675384611</v>
      </c>
      <c r="H1149">
        <f>2.71132409307692*(0.3)</f>
        <v>0.81339722792307689</v>
      </c>
      <c r="I1149">
        <f>2.71132409307692*(0.3)</f>
        <v>0.81339722792307689</v>
      </c>
      <c r="J1149">
        <f>-0.542264818615384*(0.3)</f>
        <v>-0.16267944558461533</v>
      </c>
      <c r="K1149">
        <f>2.71132409307692*(0.3)</f>
        <v>0.81339722792307689</v>
      </c>
      <c r="L1149">
        <f>1.32854880560769*(0.3)</f>
        <v>0.39856464168230765</v>
      </c>
      <c r="M1149">
        <f>2.98245650238462*(0.3)</f>
        <v>0.8947369507153845</v>
      </c>
      <c r="N1149">
        <f>2.71132409307692*(0.3)</f>
        <v>0.81339722792307689</v>
      </c>
    </row>
    <row r="1150" spans="1:14" x14ac:dyDescent="0.25">
      <c r="A1150">
        <f>-0.524828915*(0.3)</f>
        <v>-0.15744867449999997</v>
      </c>
      <c r="B1150">
        <f>0.040371455*(0.3)</f>
        <v>1.2111436499999998E-2</v>
      </c>
      <c r="C1150">
        <f>0.121114365*(0.3)</f>
        <v>3.6334309499999988E-2</v>
      </c>
      <c r="D1150">
        <f>0.040371455*(0.3)</f>
        <v>1.2111436499999998E-2</v>
      </c>
      <c r="E1150">
        <f>0.040371455*(0.3)</f>
        <v>1.2111436499999998E-2</v>
      </c>
      <c r="F1150">
        <f>0.040371455*(0.3)</f>
        <v>1.2111436499999998E-2</v>
      </c>
      <c r="G1150">
        <f>0.024222873*(0.3)</f>
        <v>7.2668618999999985E-3</v>
      </c>
      <c r="H1150">
        <f>0.040371455*(0.3)</f>
        <v>1.2111436499999998E-2</v>
      </c>
      <c r="I1150">
        <f>0.040371455*(0.3)</f>
        <v>1.2111436499999998E-2</v>
      </c>
      <c r="J1150">
        <f>-0.008074291*(0.3)</f>
        <v>-2.4222872999999992E-3</v>
      </c>
      <c r="K1150">
        <f>0.040371455*(0.3)</f>
        <v>1.2111436499999998E-2</v>
      </c>
      <c r="L1150">
        <f>0.01978201295*(0.3)</f>
        <v>5.9346038849999987E-3</v>
      </c>
      <c r="M1150">
        <f>0.0444086005*(0.3)</f>
        <v>1.3322580149999999E-2</v>
      </c>
      <c r="N1150">
        <f>0.040371455*(0.3)</f>
        <v>1.2111436499999998E-2</v>
      </c>
    </row>
    <row r="1151" spans="1:14" x14ac:dyDescent="0.25">
      <c r="A1151">
        <f>-39.14498852*(0.3)</f>
        <v>-11.743496555999998</v>
      </c>
      <c r="B1151">
        <f>3.01115296307692*(0.3)</f>
        <v>0.90334588892307688</v>
      </c>
      <c r="C1151">
        <f>9.03345888923077*(0.3)</f>
        <v>2.7100376667692303</v>
      </c>
      <c r="D1151">
        <f>3.01115296307692*(0.3)</f>
        <v>0.90334588892307688</v>
      </c>
      <c r="E1151">
        <f>3.01115296307692*(0.3)</f>
        <v>0.90334588892307688</v>
      </c>
      <c r="F1151">
        <f>3.01115296307692*(0.3)</f>
        <v>0.90334588892307688</v>
      </c>
      <c r="G1151">
        <f>1.80669177784615*(0.3)</f>
        <v>0.5420075333538461</v>
      </c>
      <c r="H1151">
        <f>3.01115296307692*(0.3)</f>
        <v>0.90334588892307688</v>
      </c>
      <c r="I1151">
        <f>3.01115296307692*(0.3)</f>
        <v>0.90334588892307688</v>
      </c>
      <c r="J1151">
        <f>-0.602230592615384*(0.3)</f>
        <v>-0.18066917778461533</v>
      </c>
      <c r="K1151">
        <f>3.01115296307692*(0.3)</f>
        <v>0.90334588892307688</v>
      </c>
      <c r="L1151">
        <f>1.47546495190769*(0.3)</f>
        <v>0.4426394855723077</v>
      </c>
      <c r="M1151">
        <f>3.31226825938462*(0.3)</f>
        <v>0.9936804778153846</v>
      </c>
      <c r="N1151">
        <f>3.01115296307692*(0.3)</f>
        <v>0.90334588892307688</v>
      </c>
    </row>
    <row r="1152" spans="1:14" x14ac:dyDescent="0.25">
      <c r="A1152">
        <f>-2.906933238*(0.3)</f>
        <v>-0.87207997140000004</v>
      </c>
      <c r="B1152">
        <f>0.223610249076923*(0.3)</f>
        <v>6.7083074723076924E-2</v>
      </c>
      <c r="C1152">
        <f>0.670830747230769*(0.3)</f>
        <v>0.20124922416923077</v>
      </c>
      <c r="D1152">
        <f>0.223610249076923*(0.3)</f>
        <v>6.7083074723076924E-2</v>
      </c>
      <c r="E1152">
        <f>0.223610249076923*(0.3)</f>
        <v>6.7083074723076924E-2</v>
      </c>
      <c r="F1152">
        <f>0.223610249076923*(0.3)</f>
        <v>6.7083074723076924E-2</v>
      </c>
      <c r="G1152">
        <f>0.134166149446154*(0.3)</f>
        <v>4.0249844833846152E-2</v>
      </c>
      <c r="H1152">
        <f>0.223610249076923*(0.3)</f>
        <v>6.7083074723076924E-2</v>
      </c>
      <c r="I1152">
        <f>0.223610249076923*(0.3)</f>
        <v>6.7083074723076924E-2</v>
      </c>
      <c r="J1152">
        <f>-0.0447220498153846*(0.3)</f>
        <v>-1.3416614944615381E-2</v>
      </c>
      <c r="K1152">
        <f>0.223610249076923*(0.3)</f>
        <v>6.7083074723076924E-2</v>
      </c>
      <c r="L1152">
        <f>0.109569022047692*(0.3)</f>
        <v>3.2870706614307695E-2</v>
      </c>
      <c r="M1152">
        <f>0.245971273984615*(0.3)</f>
        <v>7.3791382195384614E-2</v>
      </c>
      <c r="N1152">
        <f>0.223610249076923*(0.3)</f>
        <v>6.7083074723076924E-2</v>
      </c>
    </row>
    <row r="1153" spans="1:14" x14ac:dyDescent="0.25">
      <c r="A1153">
        <f>46.32683595*(0.3)</f>
        <v>13.898050785000001</v>
      </c>
      <c r="B1153">
        <f>-3.56360276538462*(0.3)</f>
        <v>-1.0690808296153846</v>
      </c>
      <c r="C1153">
        <f>-10.6908082961538*(0.3)</f>
        <v>-3.2072424888461541</v>
      </c>
      <c r="D1153">
        <f>-3.56360276538462*(0.3)</f>
        <v>-1.0690808296153846</v>
      </c>
      <c r="E1153">
        <f>-3.56360276538462*(0.3)</f>
        <v>-1.0690808296153846</v>
      </c>
      <c r="F1153">
        <f>-3.56360276538462*(0.3)</f>
        <v>-1.0690808296153846</v>
      </c>
      <c r="G1153">
        <f>-2.13816165923077*(0.3)</f>
        <v>-0.64144849776923074</v>
      </c>
      <c r="H1153">
        <f>-3.56360276538462*(0.3)</f>
        <v>-1.0690808296153846</v>
      </c>
      <c r="I1153">
        <f>-3.56360276538462*(0.3)</f>
        <v>-1.0690808296153846</v>
      </c>
      <c r="J1153">
        <f>0.712720553076923*(0.3)</f>
        <v>0.21381616592307687</v>
      </c>
      <c r="K1153">
        <f>-3.56360276538462*(0.3)</f>
        <v>-1.0690808296153846</v>
      </c>
      <c r="L1153">
        <f>-1.74616535503846*(0.3)</f>
        <v>-0.52384960651153845</v>
      </c>
      <c r="M1153">
        <f>-3.91996304192308*(0.3)</f>
        <v>-1.1759889125769232</v>
      </c>
      <c r="N1153">
        <f>-3.56360276538462*(0.3)</f>
        <v>-1.0690808296153846</v>
      </c>
    </row>
    <row r="1154" spans="1:14" x14ac:dyDescent="0.25">
      <c r="A1154">
        <f>759.3069817*(0.3)</f>
        <v>227.79209451</v>
      </c>
      <c r="B1154">
        <f>-58.4082293615385*(0.3)</f>
        <v>-17.522468808461539</v>
      </c>
      <c r="C1154">
        <f>-175.224688084615*(0.3)</f>
        <v>-52.567406425384618</v>
      </c>
      <c r="D1154">
        <f>-58.4082293615385*(0.3)</f>
        <v>-17.522468808461539</v>
      </c>
      <c r="E1154">
        <f>-58.4082293615385*(0.3)</f>
        <v>-17.522468808461539</v>
      </c>
      <c r="F1154">
        <f>-58.4082293615385*(0.3)</f>
        <v>-17.522468808461539</v>
      </c>
      <c r="G1154">
        <f>-35.0449376169231*(0.3)</f>
        <v>-10.513481285076923</v>
      </c>
      <c r="H1154">
        <f>-58.4082293615385*(0.3)</f>
        <v>-17.522468808461539</v>
      </c>
      <c r="I1154">
        <f>-58.4082293615385*(0.3)</f>
        <v>-17.522468808461539</v>
      </c>
      <c r="J1154">
        <f>11.6816458723077*(0.3)</f>
        <v>3.5044937616923071</v>
      </c>
      <c r="K1154">
        <f>-58.4082293615385*(0.3)</f>
        <v>-17.522468808461539</v>
      </c>
      <c r="L1154">
        <f>-28.6200323871538*(0.3)</f>
        <v>-8.5860097161461546</v>
      </c>
      <c r="M1154">
        <f>-64.2490522976923*(0.3)</f>
        <v>-19.274715689307694</v>
      </c>
      <c r="N1154">
        <f>-58.4082293615385*(0.3)</f>
        <v>-17.522468808461539</v>
      </c>
    </row>
    <row r="1155" spans="1:14" x14ac:dyDescent="0.25">
      <c r="A1155">
        <f>62.95870309*(0.3)</f>
        <v>18.887610927000001</v>
      </c>
      <c r="B1155">
        <f>-4.84297716076923*(0.3)</f>
        <v>-1.4528931482307692</v>
      </c>
      <c r="C1155">
        <f>-14.5289314823077*(0.3)</f>
        <v>-4.3586794446923083</v>
      </c>
      <c r="D1155">
        <f>-4.84297716076923*(0.3)</f>
        <v>-1.4528931482307692</v>
      </c>
      <c r="E1155">
        <f>-4.84297716076923*(0.3)</f>
        <v>-1.4528931482307692</v>
      </c>
      <c r="F1155">
        <f>-4.84297716076923*(0.3)</f>
        <v>-1.4528931482307692</v>
      </c>
      <c r="G1155">
        <f>-2.90578629646154*(0.3)</f>
        <v>-0.87173588893846155</v>
      </c>
      <c r="H1155">
        <f>-4.84297716076923*(0.3)</f>
        <v>-1.4528931482307692</v>
      </c>
      <c r="I1155">
        <f>-4.84297716076923*(0.3)</f>
        <v>-1.4528931482307692</v>
      </c>
      <c r="J1155">
        <f>0.968595432153846*(0.3)</f>
        <v>0.29057862964615377</v>
      </c>
      <c r="K1155">
        <f>-4.84297716076923*(0.3)</f>
        <v>-1.4528931482307692</v>
      </c>
      <c r="L1155">
        <f>-2.37305880877692*(0.3)</f>
        <v>-0.71191764263307689</v>
      </c>
      <c r="M1155">
        <f>-5.32727487684615*(0.3)</f>
        <v>-1.5981824630538464</v>
      </c>
      <c r="N1155">
        <f>-4.84297716076923*(0.3)</f>
        <v>-1.4528931482307692</v>
      </c>
    </row>
    <row r="1156" spans="1:14" x14ac:dyDescent="0.25">
      <c r="A1156">
        <f>1023.841393*(0.3)</f>
        <v>307.15241789999999</v>
      </c>
      <c r="B1156">
        <f>-78.7570302307692*(0.3)</f>
        <v>-23.627109069230769</v>
      </c>
      <c r="C1156">
        <f>-236.271090692308*(0.3)</f>
        <v>-70.881327207692308</v>
      </c>
      <c r="D1156">
        <f>-78.7570302307692*(0.3)</f>
        <v>-23.627109069230769</v>
      </c>
      <c r="E1156">
        <f>-78.7570302307692*(0.3)</f>
        <v>-23.627109069230769</v>
      </c>
      <c r="F1156">
        <f>-78.7570302307692*(0.3)</f>
        <v>-23.627109069230769</v>
      </c>
      <c r="G1156">
        <f>-47.2542181384615*(0.3)</f>
        <v>-14.176265441538462</v>
      </c>
      <c r="H1156">
        <f>-78.7570302307692*(0.3)</f>
        <v>-23.627109069230769</v>
      </c>
      <c r="I1156">
        <f>-78.7570302307692*(0.3)</f>
        <v>-23.627109069230769</v>
      </c>
      <c r="J1156">
        <f>15.7514060461538*(0.3)</f>
        <v>4.725421813846153</v>
      </c>
      <c r="K1156">
        <f>-78.7570302307692*(0.3)</f>
        <v>-23.627109069230769</v>
      </c>
      <c r="L1156">
        <f>-38.5909448130769*(0.3)</f>
        <v>-11.577283443923077</v>
      </c>
      <c r="M1156">
        <f>-86.6327332538462*(0.3)</f>
        <v>-25.989819976153846</v>
      </c>
      <c r="N1156">
        <f>-78.7570302307692*(0.3)</f>
        <v>-23.627109069230769</v>
      </c>
    </row>
    <row r="1157" spans="1:14" x14ac:dyDescent="0.25">
      <c r="A1157">
        <f>79.17431782*(0.3)</f>
        <v>23.752295346</v>
      </c>
      <c r="B1157">
        <f>-6.09033214*(0.3)</f>
        <v>-1.8270996419999999</v>
      </c>
      <c r="C1157">
        <f>-18.27099642*(0.3)</f>
        <v>-5.481298926</v>
      </c>
      <c r="D1157">
        <f>-6.09033214*(0.3)</f>
        <v>-1.8270996419999999</v>
      </c>
      <c r="E1157">
        <f>-6.09033214*(0.3)</f>
        <v>-1.8270996419999999</v>
      </c>
      <c r="F1157">
        <f>-6.09033214*(0.3)</f>
        <v>-1.8270996419999999</v>
      </c>
      <c r="G1157">
        <f>-3.654199284*(0.3)</f>
        <v>-1.0962597851999998</v>
      </c>
      <c r="H1157">
        <f>-6.09033214*(0.3)</f>
        <v>-1.8270996419999999</v>
      </c>
      <c r="I1157">
        <f>-6.09033214*(0.3)</f>
        <v>-1.8270996419999999</v>
      </c>
      <c r="J1157">
        <f>1.218066428*(0.3)</f>
        <v>0.36541992839999993</v>
      </c>
      <c r="K1157">
        <f>-6.09033214*(0.3)</f>
        <v>-1.8270996419999999</v>
      </c>
      <c r="L1157">
        <f>-2.9842627486*(0.3)</f>
        <v>-0.89527882457999997</v>
      </c>
      <c r="M1157">
        <f>-6.699365354*(0.3)</f>
        <v>-2.0098096062000002</v>
      </c>
      <c r="N1157">
        <f>-6.09033214*(0.3)</f>
        <v>-1.8270996419999999</v>
      </c>
    </row>
    <row r="1158" spans="1:14" x14ac:dyDescent="0.25">
      <c r="A1158">
        <f>1287.04381*(0.3)</f>
        <v>386.11314299999998</v>
      </c>
      <c r="B1158">
        <f>-99.00337*(0.3)</f>
        <v>-29.701010999999994</v>
      </c>
      <c r="C1158">
        <f>-297.01011*(0.3)</f>
        <v>-89.103032999999982</v>
      </c>
      <c r="D1158">
        <f>-99.00337*(0.3)</f>
        <v>-29.701010999999994</v>
      </c>
      <c r="E1158">
        <f>-99.00337*(0.3)</f>
        <v>-29.701010999999994</v>
      </c>
      <c r="F1158">
        <f>-99.00337*(0.3)</f>
        <v>-29.701010999999994</v>
      </c>
      <c r="G1158">
        <f>-59.402022*(0.3)</f>
        <v>-17.820606599999994</v>
      </c>
      <c r="H1158">
        <f>-99.00337*(0.3)</f>
        <v>-29.701010999999994</v>
      </c>
      <c r="I1158">
        <f>-99.00337*(0.3)</f>
        <v>-29.701010999999994</v>
      </c>
      <c r="J1158">
        <f>19.800674*(0.3)</f>
        <v>5.9402021999999981</v>
      </c>
      <c r="K1158">
        <f>-99.00337*(0.3)</f>
        <v>-29.701010999999994</v>
      </c>
      <c r="L1158">
        <f>-48.5116513*(0.3)</f>
        <v>-14.553495389999998</v>
      </c>
      <c r="M1158">
        <f>-108.903707*(0.3)</f>
        <v>-32.671112099999995</v>
      </c>
      <c r="N1158">
        <f>-99.00337*(0.3)</f>
        <v>-29.701010999999994</v>
      </c>
    </row>
    <row r="1159" spans="1:14" x14ac:dyDescent="0.25">
      <c r="A1159">
        <f>91.99027846*(0.3)</f>
        <v>27.597083538</v>
      </c>
      <c r="B1159">
        <f>-7.07617526615385*(0.3)</f>
        <v>-2.1228525798461537</v>
      </c>
      <c r="C1159">
        <f>-21.2285257984615*(0.3)</f>
        <v>-6.3685577395384607</v>
      </c>
      <c r="D1159">
        <f>-7.07617526615385*(0.3)</f>
        <v>-2.1228525798461537</v>
      </c>
      <c r="E1159">
        <f>-7.07617526615385*(0.3)</f>
        <v>-2.1228525798461537</v>
      </c>
      <c r="F1159">
        <f>-7.07617526615385*(0.3)</f>
        <v>-2.1228525798461537</v>
      </c>
      <c r="G1159">
        <f>-4.24570515969231*(0.3)</f>
        <v>-1.2737115479076921</v>
      </c>
      <c r="H1159">
        <f>-7.07617526615385*(0.3)</f>
        <v>-2.1228525798461537</v>
      </c>
      <c r="I1159">
        <f>-7.07617526615385*(0.3)</f>
        <v>-2.1228525798461537</v>
      </c>
      <c r="J1159">
        <f>1.41523505323077*(0.3)</f>
        <v>0.42457051596923068</v>
      </c>
      <c r="K1159">
        <f>-7.07617526615385*(0.3)</f>
        <v>-2.1228525798461537</v>
      </c>
      <c r="L1159">
        <f>-3.46732588041538*(0.3)</f>
        <v>-1.0401977641246152</v>
      </c>
      <c r="M1159">
        <f>-7.78379279276923*(0.3)</f>
        <v>-2.3351378378307692</v>
      </c>
      <c r="N1159">
        <f>-7.07617526615385*(0.3)</f>
        <v>-2.1228525798461537</v>
      </c>
    </row>
    <row r="1160" spans="1:14" x14ac:dyDescent="0.25">
      <c r="A1160">
        <f>1564.162154*(0.3)</f>
        <v>469.2486462</v>
      </c>
      <c r="B1160">
        <f>-120.320165692308*(0.3)</f>
        <v>-36.096049707692309</v>
      </c>
      <c r="C1160">
        <f>-360.960497076923*(0.3)</f>
        <v>-108.28814912307693</v>
      </c>
      <c r="D1160">
        <f>-120.320165692308*(0.3)</f>
        <v>-36.096049707692309</v>
      </c>
      <c r="E1160">
        <f>-120.320165692308*(0.3)</f>
        <v>-36.096049707692309</v>
      </c>
      <c r="F1160">
        <f>-120.320165692308*(0.3)</f>
        <v>-36.096049707692309</v>
      </c>
      <c r="G1160">
        <f>-72.1920994153846*(0.3)</f>
        <v>-21.657629824615384</v>
      </c>
      <c r="H1160">
        <f>-120.320165692308*(0.3)</f>
        <v>-36.096049707692309</v>
      </c>
      <c r="I1160">
        <f>-120.320165692308*(0.3)</f>
        <v>-36.096049707692309</v>
      </c>
      <c r="J1160">
        <f>24.0640331384615*(0.3)</f>
        <v>7.219209941538459</v>
      </c>
      <c r="K1160">
        <f>-120.320165692308*(0.3)</f>
        <v>-36.096049707692309</v>
      </c>
      <c r="L1160">
        <f>-58.9568811892308*(0.3)</f>
        <v>-17.68706435676923</v>
      </c>
      <c r="M1160">
        <f>-132.352182261538*(0.3)</f>
        <v>-39.705654678461542</v>
      </c>
      <c r="N1160">
        <f>-120.320165692308*(0.3)</f>
        <v>-36.096049707692309</v>
      </c>
    </row>
    <row r="1161" spans="1:14" x14ac:dyDescent="0.25">
      <c r="A1161">
        <f>103.6599527*(0.3)</f>
        <v>31.097985810000001</v>
      </c>
      <c r="B1161">
        <f>-7.97384251538462*(0.3)</f>
        <v>-2.3921527546153847</v>
      </c>
      <c r="C1161">
        <f>-23.9215275461538*(0.3)</f>
        <v>-7.176458263846154</v>
      </c>
      <c r="D1161">
        <f>-7.97384251538462*(0.3)</f>
        <v>-2.3921527546153847</v>
      </c>
      <c r="E1161">
        <f>-7.97384251538462*(0.3)</f>
        <v>-2.3921527546153847</v>
      </c>
      <c r="F1161">
        <f>-7.97384251538462*(0.3)</f>
        <v>-2.3921527546153847</v>
      </c>
      <c r="G1161">
        <f>-4.78430550923077*(0.3)</f>
        <v>-1.4352916527692308</v>
      </c>
      <c r="H1161">
        <f>-7.97384251538462*(0.3)</f>
        <v>-2.3921527546153847</v>
      </c>
      <c r="I1161">
        <f>-7.97384251538462*(0.3)</f>
        <v>-2.3921527546153847</v>
      </c>
      <c r="J1161">
        <f>1.59476850307692*(0.3)</f>
        <v>0.47843055092307685</v>
      </c>
      <c r="K1161">
        <f>-7.97384251538462*(0.3)</f>
        <v>-2.3921527546153847</v>
      </c>
      <c r="L1161">
        <f>-3.90718283253846*(0.3)</f>
        <v>-1.1721548497615386</v>
      </c>
      <c r="M1161">
        <f>-8.77122676692308*(0.3)</f>
        <v>-2.6313680300769233</v>
      </c>
      <c r="N1161">
        <f>-7.97384251538462*(0.3)</f>
        <v>-2.3921527546153847</v>
      </c>
    </row>
    <row r="1162" spans="1:14" x14ac:dyDescent="0.25">
      <c r="A1162">
        <f>1839.884417*(0.3)</f>
        <v>551.96532509999997</v>
      </c>
      <c r="B1162">
        <f>-141.529570538462*(0.3)</f>
        <v>-42.458871161538461</v>
      </c>
      <c r="C1162">
        <f>-424.588711615385*(0.3)</f>
        <v>-127.37661348461538</v>
      </c>
      <c r="D1162">
        <f>-141.529570538462*(0.3)</f>
        <v>-42.458871161538461</v>
      </c>
      <c r="E1162">
        <f>-141.529570538462*(0.3)</f>
        <v>-42.458871161538461</v>
      </c>
      <c r="F1162">
        <f>-141.529570538462*(0.3)</f>
        <v>-42.458871161538461</v>
      </c>
      <c r="G1162">
        <f>-84.9177423230769*(0.3)</f>
        <v>-25.475322696923076</v>
      </c>
      <c r="H1162">
        <f>-141.529570538462*(0.3)</f>
        <v>-42.458871161538461</v>
      </c>
      <c r="I1162">
        <f>-141.529570538462*(0.3)</f>
        <v>-42.458871161538461</v>
      </c>
      <c r="J1162">
        <f>28.3059141076923*(0.3)</f>
        <v>8.4917742323076908</v>
      </c>
      <c r="K1162">
        <f>-141.529570538462*(0.3)</f>
        <v>-42.458871161538461</v>
      </c>
      <c r="L1162">
        <f>-69.3494895638461*(0.3)</f>
        <v>-20.804846869153845</v>
      </c>
      <c r="M1162">
        <f>-155.682527592308*(0.3)</f>
        <v>-46.704758277692314</v>
      </c>
      <c r="N1162">
        <f>-141.529570538462*(0.3)</f>
        <v>-42.458871161538461</v>
      </c>
    </row>
    <row r="1163" spans="1:14" x14ac:dyDescent="0.25">
      <c r="A1163">
        <f>116.385525*(0.3)</f>
        <v>34.915657500000002</v>
      </c>
      <c r="B1163">
        <f>-8.95273269230769*(0.3)</f>
        <v>-2.6858198076923077</v>
      </c>
      <c r="C1163">
        <f>-26.8581980769231*(0.3)</f>
        <v>-8.0574594230769243</v>
      </c>
      <c r="D1163">
        <f>-8.95273269230769*(0.3)</f>
        <v>-2.6858198076923077</v>
      </c>
      <c r="E1163">
        <f>-8.95273269230769*(0.3)</f>
        <v>-2.6858198076923077</v>
      </c>
      <c r="F1163">
        <f>-8.95273269230769*(0.3)</f>
        <v>-2.6858198076923077</v>
      </c>
      <c r="G1163">
        <f>-5.37163961538462*(0.3)</f>
        <v>-1.6114918846153845</v>
      </c>
      <c r="H1163">
        <f>-8.95273269230769*(0.3)</f>
        <v>-2.6858198076923077</v>
      </c>
      <c r="I1163">
        <f>-8.95273269230769*(0.3)</f>
        <v>-2.6858198076923077</v>
      </c>
      <c r="J1163">
        <f>1.79054653846154*(0.3)</f>
        <v>0.53716396153846147</v>
      </c>
      <c r="K1163">
        <f>-8.95273269230769*(0.3)</f>
        <v>-2.6858198076923077</v>
      </c>
      <c r="L1163">
        <f>-4.38683901923077*(0.3)</f>
        <v>-1.3160517057692307</v>
      </c>
      <c r="M1163">
        <f>-9.84800596153846*(0.3)</f>
        <v>-2.954401788461539</v>
      </c>
      <c r="N1163">
        <f>-8.95273269230769*(0.3)</f>
        <v>-2.6858198076923077</v>
      </c>
    </row>
    <row r="1164" spans="1:14" x14ac:dyDescent="0.25">
      <c r="A1164">
        <f>2121.263027*(0.3)</f>
        <v>636.37890809999999</v>
      </c>
      <c r="B1164">
        <f>-163.174079*(0.3)</f>
        <v>-48.952223699999998</v>
      </c>
      <c r="C1164">
        <f>-489.522237*(0.3)</f>
        <v>-146.8566711</v>
      </c>
      <c r="D1164">
        <f>-163.174079*(0.3)</f>
        <v>-48.952223699999998</v>
      </c>
      <c r="E1164">
        <f>-163.174079*(0.3)</f>
        <v>-48.952223699999998</v>
      </c>
      <c r="F1164">
        <f>-163.174079*(0.3)</f>
        <v>-48.952223699999998</v>
      </c>
      <c r="G1164">
        <f>-97.9044474*(0.3)</f>
        <v>-29.371334219999998</v>
      </c>
      <c r="H1164">
        <f>-163.174079*(0.3)</f>
        <v>-48.952223699999998</v>
      </c>
      <c r="I1164">
        <f>-163.174079*(0.3)</f>
        <v>-48.952223699999998</v>
      </c>
      <c r="J1164">
        <f>32.6348158*(0.3)</f>
        <v>9.7904447399999963</v>
      </c>
      <c r="K1164">
        <f>-163.174079*(0.3)</f>
        <v>-48.952223699999998</v>
      </c>
      <c r="L1164">
        <f>-79.95529871*(0.3)</f>
        <v>-23.986589613000003</v>
      </c>
      <c r="M1164">
        <f>-179.4914869*(0.3)</f>
        <v>-53.847446070000004</v>
      </c>
      <c r="N1164">
        <f>-163.174079*(0.3)</f>
        <v>-48.952223699999998</v>
      </c>
    </row>
    <row r="1165" spans="1:14" x14ac:dyDescent="0.25">
      <c r="A1165">
        <f>126.135013*(0.3)</f>
        <v>37.840503900000002</v>
      </c>
      <c r="B1165">
        <f>-9.70269330769231*(0.3)</f>
        <v>-2.9108079923076922</v>
      </c>
      <c r="C1165">
        <f>-29.1080799230769*(0.3)</f>
        <v>-8.7324239769230765</v>
      </c>
      <c r="D1165">
        <f>-9.70269330769231*(0.3)</f>
        <v>-2.9108079923076922</v>
      </c>
      <c r="E1165">
        <f>-9.70269330769231*(0.3)</f>
        <v>-2.9108079923076922</v>
      </c>
      <c r="F1165">
        <f>-9.70269330769231*(0.3)</f>
        <v>-2.9108079923076922</v>
      </c>
      <c r="G1165">
        <f>-5.82161598461538*(0.3)</f>
        <v>-1.7464847953846152</v>
      </c>
      <c r="H1165">
        <f>-9.70269330769231*(0.3)</f>
        <v>-2.9108079923076922</v>
      </c>
      <c r="I1165">
        <f>-9.70269330769231*(0.3)</f>
        <v>-2.9108079923076922</v>
      </c>
      <c r="J1165">
        <f>1.94053866153846*(0.3)</f>
        <v>0.58216159846153825</v>
      </c>
      <c r="K1165">
        <f>-9.70269330769231*(0.3)</f>
        <v>-2.9108079923076922</v>
      </c>
      <c r="L1165">
        <f>-4.75431972076923*(0.3)</f>
        <v>-1.4262959162307691</v>
      </c>
      <c r="M1165">
        <f>-10.6729626384615*(0.3)</f>
        <v>-3.2018887915384613</v>
      </c>
      <c r="N1165">
        <f>-9.70269330769231*(0.3)</f>
        <v>-2.9108079923076922</v>
      </c>
    </row>
    <row r="1166" spans="1:14" x14ac:dyDescent="0.25">
      <c r="A1166">
        <f>2407.538335*(0.3)</f>
        <v>722.26150050000001</v>
      </c>
      <c r="B1166">
        <f>-185.195256538462*(0.3)</f>
        <v>-55.558576961538471</v>
      </c>
      <c r="C1166">
        <f>-555.585769615385*(0.3)</f>
        <v>-166.6757308846154</v>
      </c>
      <c r="D1166">
        <f>-185.195256538462*(0.3)</f>
        <v>-55.558576961538471</v>
      </c>
      <c r="E1166">
        <f>-185.195256538462*(0.3)</f>
        <v>-55.558576961538471</v>
      </c>
      <c r="F1166">
        <f>-185.195256538462*(0.3)</f>
        <v>-55.558576961538471</v>
      </c>
      <c r="G1166">
        <f>-111.117153923077*(0.3)</f>
        <v>-33.335146176923082</v>
      </c>
      <c r="H1166">
        <f>-185.195256538462*(0.3)</f>
        <v>-55.558576961538471</v>
      </c>
      <c r="I1166">
        <f>-185.195256538462*(0.3)</f>
        <v>-55.558576961538471</v>
      </c>
      <c r="J1166">
        <f>37.0390513076923*(0.3)</f>
        <v>11.111715392307691</v>
      </c>
      <c r="K1166">
        <f>-185.195256538462*(0.3)</f>
        <v>-55.558576961538471</v>
      </c>
      <c r="L1166">
        <f>-90.7456757038462*(0.3)</f>
        <v>-27.223702711153848</v>
      </c>
      <c r="M1166">
        <f>-203.714782192308*(0.3)</f>
        <v>-61.114434657692314</v>
      </c>
      <c r="N1166">
        <f>-185.195256538462*(0.3)</f>
        <v>-55.558576961538471</v>
      </c>
    </row>
    <row r="1167" spans="1:14" x14ac:dyDescent="0.25">
      <c r="A1167">
        <f>132.0987621*(0.3)</f>
        <v>39.629628629999992</v>
      </c>
      <c r="B1167">
        <f>-10.1614432384615*(0.3)</f>
        <v>-3.0484329715384608</v>
      </c>
      <c r="C1167">
        <f>-30.4843297153846*(0.3)</f>
        <v>-9.1452989146153829</v>
      </c>
      <c r="D1167">
        <f>-10.1614432384615*(0.3)</f>
        <v>-3.0484329715384608</v>
      </c>
      <c r="E1167">
        <f>-10.1614432384615*(0.3)</f>
        <v>-3.0484329715384608</v>
      </c>
      <c r="F1167">
        <f>-10.1614432384615*(0.3)</f>
        <v>-3.0484329715384608</v>
      </c>
      <c r="G1167">
        <f>-6.09686594307692*(0.3)</f>
        <v>-1.8290597829230764</v>
      </c>
      <c r="H1167">
        <f>-10.1614432384615*(0.3)</f>
        <v>-3.0484329715384608</v>
      </c>
      <c r="I1167">
        <f>-10.1614432384615*(0.3)</f>
        <v>-3.0484329715384608</v>
      </c>
      <c r="J1167">
        <f>2.03228864769231*(0.3)</f>
        <v>0.60968659430769201</v>
      </c>
      <c r="K1167">
        <f>-10.1614432384615*(0.3)</f>
        <v>-3.0484329715384608</v>
      </c>
      <c r="L1167">
        <f>-4.97910718684615*(0.3)</f>
        <v>-1.4937321560538457</v>
      </c>
      <c r="M1167">
        <f>-11.1775875623077*(0.3)</f>
        <v>-3.3532762686923072</v>
      </c>
      <c r="N1167">
        <f>-10.1614432384615*(0.3)</f>
        <v>-3.0484329715384608</v>
      </c>
    </row>
    <row r="1168" spans="1:14" x14ac:dyDescent="0.25">
      <c r="A1168">
        <f>2693.710256*(0.3)</f>
        <v>808.11307679999993</v>
      </c>
      <c r="B1168">
        <f>-207.208481230769*(0.3)</f>
        <v>-62.162544369230766</v>
      </c>
      <c r="C1168">
        <f>-621.625443692308*(0.3)</f>
        <v>-186.48763310769232</v>
      </c>
      <c r="D1168">
        <f>-207.208481230769*(0.3)</f>
        <v>-62.162544369230766</v>
      </c>
      <c r="E1168">
        <f>-207.208481230769*(0.3)</f>
        <v>-62.162544369230766</v>
      </c>
      <c r="F1168">
        <f>-207.208481230769*(0.3)</f>
        <v>-62.162544369230766</v>
      </c>
      <c r="G1168">
        <f>-124.325088738462*(0.3)</f>
        <v>-37.297526621538459</v>
      </c>
      <c r="H1168">
        <f>-207.208481230769*(0.3)</f>
        <v>-62.162544369230766</v>
      </c>
      <c r="I1168">
        <f>-207.208481230769*(0.3)</f>
        <v>-62.162544369230766</v>
      </c>
      <c r="J1168">
        <f>41.4416962461538*(0.3)</f>
        <v>12.432508873846151</v>
      </c>
      <c r="K1168">
        <f>-207.208481230769*(0.3)</f>
        <v>-62.162544369230766</v>
      </c>
      <c r="L1168">
        <f>-101.532155803077*(0.3)</f>
        <v>-30.459646740923073</v>
      </c>
      <c r="M1168">
        <f>-227.929329353846*(0.3)</f>
        <v>-68.378798806153839</v>
      </c>
      <c r="N1168">
        <f>-207.208481230769*(0.3)</f>
        <v>-62.162544369230766</v>
      </c>
    </row>
    <row r="1169" spans="1:14" x14ac:dyDescent="0.25">
      <c r="A1169">
        <f>-57.58161866*(0.3)</f>
        <v>-17.274485597999998</v>
      </c>
      <c r="B1169">
        <f>4.42935528153846*(0.3)</f>
        <v>1.3288065844615382</v>
      </c>
      <c r="C1169">
        <f>13.2880658446154*(0.3)</f>
        <v>3.9864197533846149</v>
      </c>
      <c r="D1169">
        <f>4.42935528153846*(0.3)</f>
        <v>1.3288065844615382</v>
      </c>
      <c r="E1169">
        <f>4.42935528153846*(0.3)</f>
        <v>1.3288065844615382</v>
      </c>
      <c r="F1169">
        <f>4.42935528153846*(0.3)</f>
        <v>1.3288065844615382</v>
      </c>
      <c r="G1169">
        <f>2.65761316892308*(0.3)</f>
        <v>0.79728395067692293</v>
      </c>
      <c r="H1169">
        <f>4.42935528153846*(0.3)</f>
        <v>1.3288065844615382</v>
      </c>
      <c r="I1169">
        <f>4.42935528153846*(0.3)</f>
        <v>1.3288065844615382</v>
      </c>
      <c r="J1169">
        <f>-0.885871056307692*(0.3)</f>
        <v>-0.26576131689230759</v>
      </c>
      <c r="K1169">
        <f>4.42935528153846*(0.3)</f>
        <v>1.3288065844615382</v>
      </c>
      <c r="L1169">
        <f>2.17038408795385*(0.3)</f>
        <v>0.65111522638615371</v>
      </c>
      <c r="M1169">
        <f>4.87229080969231*(0.3)</f>
        <v>1.4616872429076921</v>
      </c>
      <c r="N1169">
        <f>4.42935528153846*(0.3)</f>
        <v>1.3288065844615382</v>
      </c>
    </row>
    <row r="1170" spans="1:14" x14ac:dyDescent="0.25">
      <c r="A1170">
        <f>-57.39850012*(0.3)</f>
        <v>-17.219550036000001</v>
      </c>
      <c r="B1170">
        <f>4.41526924*(0.3)</f>
        <v>1.3245807719999998</v>
      </c>
      <c r="C1170">
        <f>13.24580772*(0.3)</f>
        <v>3.9737423159999992</v>
      </c>
      <c r="D1170">
        <f>4.41526924*(0.3)</f>
        <v>1.3245807719999998</v>
      </c>
      <c r="E1170">
        <f>4.41526924*(0.3)</f>
        <v>1.3245807719999998</v>
      </c>
      <c r="F1170">
        <f>4.41526924*(0.3)</f>
        <v>1.3245807719999998</v>
      </c>
      <c r="G1170">
        <f>2.649161544*(0.3)</f>
        <v>0.79474846319999981</v>
      </c>
      <c r="H1170">
        <f>4.41526924*(0.3)</f>
        <v>1.3245807719999998</v>
      </c>
      <c r="I1170">
        <f>4.41526924*(0.3)</f>
        <v>1.3245807719999998</v>
      </c>
      <c r="J1170">
        <f>-0.883053848*(0.3)</f>
        <v>-0.26491615439999994</v>
      </c>
      <c r="K1170">
        <f>4.41526924*(0.3)</f>
        <v>1.3245807719999998</v>
      </c>
      <c r="L1170">
        <f>2.1634819276*(0.3)</f>
        <v>0.64904457827999995</v>
      </c>
      <c r="M1170">
        <f>4.856796164*(0.3)</f>
        <v>1.4570388492000002</v>
      </c>
      <c r="N1170">
        <f>4.41526924*(0.3)</f>
        <v>1.3245807719999998</v>
      </c>
    </row>
    <row r="1171" spans="1:14" x14ac:dyDescent="0.25">
      <c r="A1171">
        <f>-94.52489267*(0.3)</f>
        <v>-28.357467800999999</v>
      </c>
      <c r="B1171">
        <f>7.27114559*(0.3)</f>
        <v>2.1813436769999996</v>
      </c>
      <c r="C1171">
        <f>21.81343677*(0.3)</f>
        <v>6.5440310309999994</v>
      </c>
      <c r="D1171">
        <f>7.27114559*(0.3)</f>
        <v>2.1813436769999996</v>
      </c>
      <c r="E1171">
        <f>7.27114559*(0.3)</f>
        <v>2.1813436769999996</v>
      </c>
      <c r="F1171">
        <f>7.27114559*(0.3)</f>
        <v>2.1813436769999996</v>
      </c>
      <c r="G1171">
        <f>4.362687354*(0.3)</f>
        <v>1.3088062061999997</v>
      </c>
      <c r="H1171">
        <f>7.27114559*(0.3)</f>
        <v>2.1813436769999996</v>
      </c>
      <c r="I1171">
        <f>7.27114559*(0.3)</f>
        <v>2.1813436769999996</v>
      </c>
      <c r="J1171">
        <f>-1.454229118*(0.3)</f>
        <v>-0.43626873539999983</v>
      </c>
      <c r="K1171">
        <f>7.27114559*(0.3)</f>
        <v>2.1813436769999996</v>
      </c>
      <c r="L1171">
        <f>3.5628613391*(0.3)</f>
        <v>1.06885840173</v>
      </c>
      <c r="M1171">
        <f>7.998260149*(0.3)</f>
        <v>2.3994780446999999</v>
      </c>
      <c r="N1171">
        <f>7.27114559*(0.3)</f>
        <v>2.1813436769999996</v>
      </c>
    </row>
    <row r="1172" spans="1:14" x14ac:dyDescent="0.25">
      <c r="A1172">
        <f>-78.40561046*(0.3)</f>
        <v>-23.521683138</v>
      </c>
      <c r="B1172">
        <f>6.03120080461539*(0.3)</f>
        <v>1.8093602413846155</v>
      </c>
      <c r="C1172">
        <f>18.0936024138462*(0.3)</f>
        <v>5.4280807241538467</v>
      </c>
      <c r="D1172">
        <f>6.03120080461539*(0.3)</f>
        <v>1.8093602413846155</v>
      </c>
      <c r="E1172">
        <f>6.03120080461539*(0.3)</f>
        <v>1.8093602413846155</v>
      </c>
      <c r="F1172">
        <f>6.03120080461539*(0.3)</f>
        <v>1.8093602413846155</v>
      </c>
      <c r="G1172">
        <f>3.61872048276923*(0.3)</f>
        <v>1.0856161448307693</v>
      </c>
      <c r="H1172">
        <f>6.03120080461539*(0.3)</f>
        <v>1.8093602413846155</v>
      </c>
      <c r="I1172">
        <f>6.03120080461539*(0.3)</f>
        <v>1.8093602413846155</v>
      </c>
      <c r="J1172">
        <f>-1.20624016092308*(0.3)</f>
        <v>-0.36187204827692304</v>
      </c>
      <c r="K1172">
        <f>6.03120080461539*(0.3)</f>
        <v>1.8093602413846155</v>
      </c>
      <c r="L1172">
        <f>2.95528839426154*(0.3)</f>
        <v>0.88658651827846147</v>
      </c>
      <c r="M1172">
        <f>6.63432088507692*(0.3)</f>
        <v>1.9902962655230771</v>
      </c>
      <c r="N1172">
        <f>6.03120080461539*(0.3)</f>
        <v>1.8093602413846155</v>
      </c>
    </row>
    <row r="1173" spans="1:14" x14ac:dyDescent="0.25">
      <c r="A1173">
        <f>-140.7583891*(0.3)</f>
        <v>-42.227516729999998</v>
      </c>
      <c r="B1173">
        <f>10.8275683923077*(0.3)</f>
        <v>3.2482705176923075</v>
      </c>
      <c r="C1173">
        <f>32.4827051769231*(0.3)</f>
        <v>9.7448115530769233</v>
      </c>
      <c r="D1173">
        <f>10.8275683923077*(0.3)</f>
        <v>3.2482705176923075</v>
      </c>
      <c r="E1173">
        <f>10.8275683923077*(0.3)</f>
        <v>3.2482705176923075</v>
      </c>
      <c r="F1173">
        <f>10.8275683923077*(0.3)</f>
        <v>3.2482705176923075</v>
      </c>
      <c r="G1173">
        <f>6.49654103538461*(0.3)</f>
        <v>1.9489623106153844</v>
      </c>
      <c r="H1173">
        <f>10.8275683923077*(0.3)</f>
        <v>3.2482705176923075</v>
      </c>
      <c r="I1173">
        <f>10.8275683923077*(0.3)</f>
        <v>3.2482705176923075</v>
      </c>
      <c r="J1173">
        <f>-2.16551367846154*(0.3)</f>
        <v>-0.64965410353846131</v>
      </c>
      <c r="K1173">
        <f>10.8275683923077*(0.3)</f>
        <v>3.2482705176923075</v>
      </c>
      <c r="L1173">
        <f>5.30550851223077*(0.3)</f>
        <v>1.5916525536692305</v>
      </c>
      <c r="M1173">
        <f>11.9103252315385*(0.3)</f>
        <v>3.5730975694615386</v>
      </c>
      <c r="N1173">
        <f>10.8275683923077*(0.3)</f>
        <v>3.2482705176923075</v>
      </c>
    </row>
    <row r="1174" spans="1:14" x14ac:dyDescent="0.25">
      <c r="A1174">
        <f>-96.83972878*(0.3)</f>
        <v>-29.051918634</v>
      </c>
      <c r="B1174">
        <f>7.44920990615385*(0.3)</f>
        <v>2.2347629718461537</v>
      </c>
      <c r="C1174">
        <f>22.3476297184615*(0.3)</f>
        <v>6.7042889155384611</v>
      </c>
      <c r="D1174">
        <f>7.44920990615385*(0.3)</f>
        <v>2.2347629718461537</v>
      </c>
      <c r="E1174">
        <f>7.44920990615385*(0.3)</f>
        <v>2.2347629718461537</v>
      </c>
      <c r="F1174">
        <f>7.44920990615385*(0.3)</f>
        <v>2.2347629718461537</v>
      </c>
      <c r="G1174">
        <f>4.46952594369231*(0.3)</f>
        <v>1.3408577831076922</v>
      </c>
      <c r="H1174">
        <f>7.44920990615385*(0.3)</f>
        <v>2.2347629718461537</v>
      </c>
      <c r="I1174">
        <f>7.44920990615385*(0.3)</f>
        <v>2.2347629718461537</v>
      </c>
      <c r="J1174">
        <f>-1.48984198123077*(0.3)</f>
        <v>-0.44695259436923063</v>
      </c>
      <c r="K1174">
        <f>7.44920990615385*(0.3)</f>
        <v>2.2347629718461537</v>
      </c>
      <c r="L1174">
        <f>3.65011285401538*(0.3)</f>
        <v>1.0950338562046154</v>
      </c>
      <c r="M1174">
        <f>8.19413089676923*(0.3)</f>
        <v>2.4582392690307691</v>
      </c>
      <c r="N1174">
        <f>7.44920990615385*(0.3)</f>
        <v>2.2347629718461537</v>
      </c>
    </row>
    <row r="1175" spans="1:14" x14ac:dyDescent="0.25">
      <c r="A1175">
        <f>-199.141795*(0.3)</f>
        <v>-59.742538499999995</v>
      </c>
      <c r="B1175">
        <f>15.3185996153846*(0.3)</f>
        <v>4.5955798846153844</v>
      </c>
      <c r="C1175">
        <f>45.9557988461538*(0.3)</f>
        <v>13.786739653846153</v>
      </c>
      <c r="D1175">
        <f>15.3185996153846*(0.3)</f>
        <v>4.5955798846153844</v>
      </c>
      <c r="E1175">
        <f>15.3185996153846*(0.3)</f>
        <v>4.5955798846153844</v>
      </c>
      <c r="F1175">
        <f>15.3185996153846*(0.3)</f>
        <v>4.5955798846153844</v>
      </c>
      <c r="G1175">
        <f>9.19115976923077*(0.3)</f>
        <v>2.7573479307692303</v>
      </c>
      <c r="H1175">
        <f>15.3185996153846*(0.3)</f>
        <v>4.5955798846153844</v>
      </c>
      <c r="I1175">
        <f>15.3185996153846*(0.3)</f>
        <v>4.5955798846153844</v>
      </c>
      <c r="J1175">
        <f>-3.06371992307692*(0.3)</f>
        <v>-0.91911597692307667</v>
      </c>
      <c r="K1175">
        <f>15.3185996153846*(0.3)</f>
        <v>4.5955798846153844</v>
      </c>
      <c r="L1175">
        <f>7.50611381153846*(0.3)</f>
        <v>2.2518341434615383</v>
      </c>
      <c r="M1175">
        <f>16.8504595769231*(0.3)</f>
        <v>5.0551378730769239</v>
      </c>
      <c r="N1175">
        <f>15.3185996153846*(0.3)</f>
        <v>4.5955798846153844</v>
      </c>
    </row>
    <row r="1176" spans="1:14" x14ac:dyDescent="0.25">
      <c r="A1176">
        <f>-115.9600979*(0.3)</f>
        <v>-34.788029369999997</v>
      </c>
      <c r="B1176">
        <f>8.92000753076923*(0.3)</f>
        <v>2.6760022592307688</v>
      </c>
      <c r="C1176">
        <f>26.7600225923077*(0.3)</f>
        <v>8.0280067776923065</v>
      </c>
      <c r="D1176">
        <f>8.92000753076923*(0.3)</f>
        <v>2.6760022592307688</v>
      </c>
      <c r="E1176">
        <f>8.92000753076923*(0.3)</f>
        <v>2.6760022592307688</v>
      </c>
      <c r="F1176">
        <f>8.92000753076923*(0.3)</f>
        <v>2.6760022592307688</v>
      </c>
      <c r="G1176">
        <f>5.35200451846154*(0.3)</f>
        <v>1.6056013555384612</v>
      </c>
      <c r="H1176">
        <f>8.92000753076923*(0.3)</f>
        <v>2.6760022592307688</v>
      </c>
      <c r="I1176">
        <f>8.92000753076923*(0.3)</f>
        <v>2.6760022592307688</v>
      </c>
      <c r="J1176">
        <f>-1.78400150615385*(0.3)</f>
        <v>-0.53520045184615361</v>
      </c>
      <c r="K1176">
        <f>8.92000753076923*(0.3)</f>
        <v>2.6760022592307688</v>
      </c>
      <c r="L1176">
        <f>4.37080369007692*(0.3)</f>
        <v>1.3112411070230767</v>
      </c>
      <c r="M1176">
        <f>9.81200828384615*(0.3)</f>
        <v>2.9436024851538458</v>
      </c>
      <c r="N1176">
        <f>8.92000753076923*(0.3)</f>
        <v>2.6760022592307688</v>
      </c>
    </row>
    <row r="1177" spans="1:14" x14ac:dyDescent="0.25">
      <c r="A1177">
        <f>-273.6554591*(0.3)</f>
        <v>-82.096637729999983</v>
      </c>
      <c r="B1177">
        <f>21.0504199307692*(0.3)</f>
        <v>6.3151259792307686</v>
      </c>
      <c r="C1177">
        <f>63.1512597923077*(0.3)</f>
        <v>18.945377937692307</v>
      </c>
      <c r="D1177">
        <f>21.0504199307692*(0.3)</f>
        <v>6.3151259792307686</v>
      </c>
      <c r="E1177">
        <f>21.0504199307692*(0.3)</f>
        <v>6.3151259792307686</v>
      </c>
      <c r="F1177">
        <f>21.0504199307692*(0.3)</f>
        <v>6.3151259792307686</v>
      </c>
      <c r="G1177">
        <f>12.6302519584615*(0.3)</f>
        <v>3.789075587538461</v>
      </c>
      <c r="H1177">
        <f>21.0504199307692*(0.3)</f>
        <v>6.3151259792307686</v>
      </c>
      <c r="I1177">
        <f>21.0504199307692*(0.3)</f>
        <v>6.3151259792307686</v>
      </c>
      <c r="J1177">
        <f>-4.21008398615384*(0.3)</f>
        <v>-1.2630251958461534</v>
      </c>
      <c r="K1177">
        <f>21.0504199307692*(0.3)</f>
        <v>6.3151259792307686</v>
      </c>
      <c r="L1177">
        <f>10.3147057660769*(0.3)</f>
        <v>3.0944117298230767</v>
      </c>
      <c r="M1177">
        <f>23.1554619238462*(0.3)</f>
        <v>6.9466385771538457</v>
      </c>
      <c r="N1177">
        <f>21.0504199307692*(0.3)</f>
        <v>6.3151259792307686</v>
      </c>
    </row>
    <row r="1178" spans="1:14" x14ac:dyDescent="0.25">
      <c r="A1178">
        <f>-133.7123406*(0.3)</f>
        <v>-40.113702179999997</v>
      </c>
      <c r="B1178">
        <f>10.2855646615385*(0.3)</f>
        <v>3.0856693984615386</v>
      </c>
      <c r="C1178">
        <f>30.8566939846154*(0.3)</f>
        <v>9.2570081953846159</v>
      </c>
      <c r="D1178">
        <f>10.2855646615385*(0.3)</f>
        <v>3.0856693984615386</v>
      </c>
      <c r="E1178">
        <f>10.2855646615385*(0.3)</f>
        <v>3.0856693984615386</v>
      </c>
      <c r="F1178">
        <f>10.2855646615385*(0.3)</f>
        <v>3.0856693984615386</v>
      </c>
      <c r="G1178">
        <f>6.17133879692308*(0.3)</f>
        <v>1.851401639076923</v>
      </c>
      <c r="H1178">
        <f>10.2855646615385*(0.3)</f>
        <v>3.0856693984615386</v>
      </c>
      <c r="I1178">
        <f>10.2855646615385*(0.3)</f>
        <v>3.0856693984615386</v>
      </c>
      <c r="J1178">
        <f>-2.05711293230769*(0.3)</f>
        <v>-0.6171338796923076</v>
      </c>
      <c r="K1178">
        <f>10.2855646615385*(0.3)</f>
        <v>3.0856693984615386</v>
      </c>
      <c r="L1178">
        <f>5.03992668415385*(0.3)</f>
        <v>1.5119780052461538</v>
      </c>
      <c r="M1178">
        <f>11.3141211276923*(0.3)</f>
        <v>3.3942363383076928</v>
      </c>
      <c r="N1178">
        <f>10.2855646615385*(0.3)</f>
        <v>3.0856693984615386</v>
      </c>
    </row>
    <row r="1179" spans="1:14" x14ac:dyDescent="0.25">
      <c r="A1179">
        <f>-369.7262978*(0.3)</f>
        <v>-110.91788934</v>
      </c>
      <c r="B1179">
        <f>28.4404844461538*(0.3)</f>
        <v>8.5321453338461541</v>
      </c>
      <c r="C1179">
        <f>85.3214533384615*(0.3)</f>
        <v>25.596436001538461</v>
      </c>
      <c r="D1179">
        <f>28.4404844461538*(0.3)</f>
        <v>8.5321453338461541</v>
      </c>
      <c r="E1179">
        <f>28.4404844461538*(0.3)</f>
        <v>8.5321453338461541</v>
      </c>
      <c r="F1179">
        <f>28.4404844461538*(0.3)</f>
        <v>8.5321453338461541</v>
      </c>
      <c r="G1179">
        <f>17.0642906676923*(0.3)</f>
        <v>5.1192872003076921</v>
      </c>
      <c r="H1179">
        <f>28.4404844461538*(0.3)</f>
        <v>8.5321453338461541</v>
      </c>
      <c r="I1179">
        <f>28.4404844461538*(0.3)</f>
        <v>8.5321453338461541</v>
      </c>
      <c r="J1179">
        <f>-5.68809688923077*(0.3)</f>
        <v>-1.7064290667692303</v>
      </c>
      <c r="K1179">
        <f>28.4404844461538*(0.3)</f>
        <v>8.5321453338461541</v>
      </c>
      <c r="L1179">
        <f>13.9358373786154*(0.3)</f>
        <v>4.1807512135846148</v>
      </c>
      <c r="M1179">
        <f>31.2845328907692*(0.3)</f>
        <v>9.3853598672307701</v>
      </c>
      <c r="N1179">
        <f>28.4404844461538*(0.3)</f>
        <v>8.5321453338461541</v>
      </c>
    </row>
    <row r="1180" spans="1:14" x14ac:dyDescent="0.25">
      <c r="A1180">
        <f>-153.9341454*(0.3)</f>
        <v>-46.180243619999999</v>
      </c>
      <c r="B1180">
        <f>11.8410881076923*(0.3)</f>
        <v>3.5523264323076922</v>
      </c>
      <c r="C1180">
        <f>35.5232643230769*(0.3)</f>
        <v>10.656979296923076</v>
      </c>
      <c r="D1180">
        <f>11.8410881076923*(0.3)</f>
        <v>3.5523264323076922</v>
      </c>
      <c r="E1180">
        <f>11.8410881076923*(0.3)</f>
        <v>3.5523264323076922</v>
      </c>
      <c r="F1180">
        <f>11.8410881076923*(0.3)</f>
        <v>3.5523264323076922</v>
      </c>
      <c r="G1180">
        <f>7.10465286461538*(0.3)</f>
        <v>2.1313958593846154</v>
      </c>
      <c r="H1180">
        <f>11.8410881076923*(0.3)</f>
        <v>3.5523264323076922</v>
      </c>
      <c r="I1180">
        <f>11.8410881076923*(0.3)</f>
        <v>3.5523264323076922</v>
      </c>
      <c r="J1180">
        <f>-2.36821762153846*(0.3)</f>
        <v>-0.71046528646153828</v>
      </c>
      <c r="K1180">
        <f>11.8410881076923*(0.3)</f>
        <v>3.5523264323076922</v>
      </c>
      <c r="L1180">
        <f>5.80213317276923*(0.3)</f>
        <v>1.7406399518307691</v>
      </c>
      <c r="M1180">
        <f>13.0251969184615*(0.3)</f>
        <v>3.9075590755384617</v>
      </c>
      <c r="N1180">
        <f>11.8410881076923*(0.3)</f>
        <v>3.5523264323076922</v>
      </c>
    </row>
    <row r="1181" spans="1:14" x14ac:dyDescent="0.25">
      <c r="A1181">
        <f>-517.0729519*(0.3)</f>
        <v>-155.12188556999999</v>
      </c>
      <c r="B1181">
        <f>39.7748424538462*(0.3)</f>
        <v>11.932452736153847</v>
      </c>
      <c r="C1181">
        <f>119.324527361538*(0.3)</f>
        <v>35.797358208461539</v>
      </c>
      <c r="D1181">
        <f>39.7748424538462*(0.3)</f>
        <v>11.932452736153847</v>
      </c>
      <c r="E1181">
        <f>39.7748424538462*(0.3)</f>
        <v>11.932452736153847</v>
      </c>
      <c r="F1181">
        <f>39.7748424538462*(0.3)</f>
        <v>11.932452736153847</v>
      </c>
      <c r="G1181">
        <f>23.8649054723077*(0.3)</f>
        <v>7.1594716416923081</v>
      </c>
      <c r="H1181">
        <f>39.7748424538462*(0.3)</f>
        <v>11.932452736153847</v>
      </c>
      <c r="I1181">
        <f>39.7748424538462*(0.3)</f>
        <v>11.932452736153847</v>
      </c>
      <c r="J1181">
        <f>-7.95496849076923*(0.3)</f>
        <v>-2.3864905472307685</v>
      </c>
      <c r="K1181">
        <f>39.7748424538462*(0.3)</f>
        <v>11.932452736153847</v>
      </c>
      <c r="L1181">
        <f>19.4896728023846*(0.3)</f>
        <v>5.8469018407153843</v>
      </c>
      <c r="M1181">
        <f>43.7523266992308*(0.3)</f>
        <v>13.125698009769231</v>
      </c>
      <c r="N1181">
        <f>39.7748424538462*(0.3)</f>
        <v>11.932452736153847</v>
      </c>
    </row>
    <row r="1182" spans="1:14" x14ac:dyDescent="0.25">
      <c r="A1182">
        <f>-174.9645484*(0.3)</f>
        <v>-52.489364520000002</v>
      </c>
      <c r="B1182">
        <f>13.4588114153846*(0.3)</f>
        <v>4.0376434246153847</v>
      </c>
      <c r="C1182">
        <f>40.3764342461538*(0.3)</f>
        <v>12.112930273846155</v>
      </c>
      <c r="D1182">
        <f>13.4588114153846*(0.3)</f>
        <v>4.0376434246153847</v>
      </c>
      <c r="E1182">
        <f>13.4588114153846*(0.3)</f>
        <v>4.0376434246153847</v>
      </c>
      <c r="F1182">
        <f>13.4588114153846*(0.3)</f>
        <v>4.0376434246153847</v>
      </c>
      <c r="G1182">
        <f>8.07528684923077*(0.3)</f>
        <v>2.4225860547692308</v>
      </c>
      <c r="H1182">
        <f>13.4588114153846*(0.3)</f>
        <v>4.0376434246153847</v>
      </c>
      <c r="I1182">
        <f>13.4588114153846*(0.3)</f>
        <v>4.0376434246153847</v>
      </c>
      <c r="J1182">
        <f>-2.69176228307692*(0.3)</f>
        <v>-0.80752868492307672</v>
      </c>
      <c r="K1182">
        <f>13.4588114153846*(0.3)</f>
        <v>4.0376434246153847</v>
      </c>
      <c r="L1182">
        <f>6.59481759353846*(0.3)</f>
        <v>1.9784452780615385</v>
      </c>
      <c r="M1182">
        <f>14.8046925569231*(0.3)</f>
        <v>4.4414077670769236</v>
      </c>
      <c r="N1182">
        <f>13.4588114153846*(0.3)</f>
        <v>4.0376434246153847</v>
      </c>
    </row>
    <row r="1183" spans="1:14" x14ac:dyDescent="0.25">
      <c r="A1183">
        <f>-736.4657176*(0.3)</f>
        <v>-220.93971527999997</v>
      </c>
      <c r="B1183">
        <f>56.6512090461538*(0.3)</f>
        <v>16.995362713846152</v>
      </c>
      <c r="C1183">
        <f>169.953627138462*(0.3)</f>
        <v>50.98608814153846</v>
      </c>
      <c r="D1183">
        <f>56.6512090461538*(0.3)</f>
        <v>16.995362713846152</v>
      </c>
      <c r="E1183">
        <f>56.6512090461538*(0.3)</f>
        <v>16.995362713846152</v>
      </c>
      <c r="F1183">
        <f>56.6512090461538*(0.3)</f>
        <v>16.995362713846152</v>
      </c>
      <c r="G1183">
        <f>33.9907254276923*(0.3)</f>
        <v>10.197217628307691</v>
      </c>
      <c r="H1183">
        <f>56.6512090461538*(0.3)</f>
        <v>16.995362713846152</v>
      </c>
      <c r="I1183">
        <f>56.6512090461538*(0.3)</f>
        <v>16.995362713846152</v>
      </c>
      <c r="J1183">
        <f>-11.3302418092308*(0.3)</f>
        <v>-3.3990725427692299</v>
      </c>
      <c r="K1183">
        <f>56.6512090461538*(0.3)</f>
        <v>16.995362713846152</v>
      </c>
      <c r="L1183">
        <f>27.7590924326154*(0.3)</f>
        <v>8.3277277297846144</v>
      </c>
      <c r="M1183">
        <f>62.3163299507692*(0.3)</f>
        <v>18.694898985230772</v>
      </c>
      <c r="N1183">
        <f>56.6512090461538*(0.3)</f>
        <v>16.995362713846152</v>
      </c>
    </row>
    <row r="1184" spans="1:14" x14ac:dyDescent="0.25">
      <c r="A1184">
        <f>-193.3201648*(0.3)</f>
        <v>-57.996049439999993</v>
      </c>
      <c r="B1184">
        <f>14.8707819076923*(0.3)</f>
        <v>4.461234572307692</v>
      </c>
      <c r="C1184">
        <f>44.6123457230769*(0.3)</f>
        <v>13.383703716923076</v>
      </c>
      <c r="D1184">
        <f>14.8707819076923*(0.3)</f>
        <v>4.461234572307692</v>
      </c>
      <c r="E1184">
        <f>14.8707819076923*(0.3)</f>
        <v>4.461234572307692</v>
      </c>
      <c r="F1184">
        <f>14.8707819076923*(0.3)</f>
        <v>4.461234572307692</v>
      </c>
      <c r="G1184">
        <f>8.92246914461538*(0.3)</f>
        <v>2.6767407433846153</v>
      </c>
      <c r="H1184">
        <f>14.8707819076923*(0.3)</f>
        <v>4.461234572307692</v>
      </c>
      <c r="I1184">
        <f>14.8707819076923*(0.3)</f>
        <v>4.461234572307692</v>
      </c>
      <c r="J1184">
        <f>-2.97415638153846*(0.3)</f>
        <v>-0.89224691446153814</v>
      </c>
      <c r="K1184">
        <f>14.8707819076923*(0.3)</f>
        <v>4.461234572307692</v>
      </c>
      <c r="L1184">
        <f>7.28668313476923*(0.3)</f>
        <v>2.1860049404307689</v>
      </c>
      <c r="M1184">
        <f>16.3578600984615*(0.3)</f>
        <v>4.9073580295384618</v>
      </c>
      <c r="N1184">
        <f>14.8707819076923*(0.3)</f>
        <v>4.461234572307692</v>
      </c>
    </row>
    <row r="1185" spans="1:14" x14ac:dyDescent="0.25">
      <c r="A1185">
        <f>-26.31487807*(0.3)</f>
        <v>-7.8944634209999993</v>
      </c>
      <c r="B1185">
        <f>2.02422139*(0.3)</f>
        <v>0.60726641700000006</v>
      </c>
      <c r="C1185">
        <f>6.07266417*(0.3)</f>
        <v>1.8217992510000001</v>
      </c>
      <c r="D1185">
        <f>2.02422139*(0.3)</f>
        <v>0.60726641700000006</v>
      </c>
      <c r="E1185">
        <f>2.02422139*(0.3)</f>
        <v>0.60726641700000006</v>
      </c>
      <c r="F1185">
        <f>2.02422139*(0.3)</f>
        <v>0.60726641700000006</v>
      </c>
      <c r="G1185">
        <f>1.214532834*(0.3)</f>
        <v>0.3643598502</v>
      </c>
      <c r="H1185">
        <f>2.02422139*(0.3)</f>
        <v>0.60726641700000006</v>
      </c>
      <c r="I1185">
        <f>2.02422139*(0.3)</f>
        <v>0.60726641700000006</v>
      </c>
      <c r="J1185">
        <f>-0.404844278*(0.3)</f>
        <v>-0.12145328339999997</v>
      </c>
      <c r="K1185">
        <f>2.02422139*(0.3)</f>
        <v>0.60726641700000006</v>
      </c>
      <c r="L1185">
        <f>0.9918684811*(0.3)</f>
        <v>0.29756054433000001</v>
      </c>
      <c r="M1185">
        <f>2.226643529*(0.3)</f>
        <v>0.66799305870000014</v>
      </c>
      <c r="N1185">
        <f>2.02422139*(0.3)</f>
        <v>0.60726641700000006</v>
      </c>
    </row>
    <row r="1186" spans="1:14" x14ac:dyDescent="0.25">
      <c r="A1186">
        <f>-108.4421539*(0.3)</f>
        <v>-32.53264617</v>
      </c>
      <c r="B1186">
        <f>8.34170414615385*(0.3)</f>
        <v>2.5025112438461536</v>
      </c>
      <c r="C1186">
        <f>25.0251124384615*(0.3)</f>
        <v>7.5075337315384623</v>
      </c>
      <c r="D1186">
        <f>8.34170414615385*(0.3)</f>
        <v>2.5025112438461536</v>
      </c>
      <c r="E1186">
        <f>8.34170414615385*(0.3)</f>
        <v>2.5025112438461536</v>
      </c>
      <c r="F1186">
        <f>8.34170414615385*(0.3)</f>
        <v>2.5025112438461536</v>
      </c>
      <c r="G1186">
        <f>5.00502248769231*(0.3)</f>
        <v>1.5015067463076921</v>
      </c>
      <c r="H1186">
        <f>8.34170414615385*(0.3)</f>
        <v>2.5025112438461536</v>
      </c>
      <c r="I1186">
        <f>8.34170414615385*(0.3)</f>
        <v>2.5025112438461536</v>
      </c>
      <c r="J1186">
        <f>-1.66834082923077*(0.3)</f>
        <v>-0.50050224876923066</v>
      </c>
      <c r="K1186">
        <f>8.34170414615385*(0.3)</f>
        <v>2.5025112438461536</v>
      </c>
      <c r="L1186">
        <f>4.08743503161538*(0.3)</f>
        <v>1.2262305094846153</v>
      </c>
      <c r="M1186">
        <f>9.17587456076923*(0.3)</f>
        <v>2.7527623682307696</v>
      </c>
      <c r="N1186">
        <f>8.34170414615385*(0.3)</f>
        <v>2.5025112438461536</v>
      </c>
    </row>
    <row r="1187" spans="1:14" x14ac:dyDescent="0.25">
      <c r="A1187">
        <f>-40.07703383*(0.3)</f>
        <v>-12.023110148999999</v>
      </c>
      <c r="B1187">
        <f>3.08284875615385*(0.3)</f>
        <v>0.92485462684615372</v>
      </c>
      <c r="C1187">
        <f>9.24854626846154*(0.3)</f>
        <v>2.7745638805384614</v>
      </c>
      <c r="D1187">
        <f>3.08284875615385*(0.3)</f>
        <v>0.92485462684615372</v>
      </c>
      <c r="E1187">
        <f>3.08284875615385*(0.3)</f>
        <v>0.92485462684615372</v>
      </c>
      <c r="F1187">
        <f>3.08284875615385*(0.3)</f>
        <v>0.92485462684615372</v>
      </c>
      <c r="G1187">
        <f>1.84970925369231*(0.3)</f>
        <v>0.55491277610769218</v>
      </c>
      <c r="H1187">
        <f>3.08284875615385*(0.3)</f>
        <v>0.92485462684615372</v>
      </c>
      <c r="I1187">
        <f>3.08284875615385*(0.3)</f>
        <v>0.92485462684615372</v>
      </c>
      <c r="J1187">
        <f>-0.616569751230769*(0.3)</f>
        <v>-0.18497092536923071</v>
      </c>
      <c r="K1187">
        <f>3.08284875615385*(0.3)</f>
        <v>0.92485462684615372</v>
      </c>
      <c r="L1187">
        <f>1.51059589051538*(0.3)</f>
        <v>0.4531787671546153</v>
      </c>
      <c r="M1187">
        <f>3.39113363176923*(0.3)</f>
        <v>1.0173400895307694</v>
      </c>
      <c r="N1187">
        <f>3.08284875615385*(0.3)</f>
        <v>0.92485462684615372</v>
      </c>
    </row>
    <row r="1188" spans="1:14" x14ac:dyDescent="0.25">
      <c r="A1188">
        <f>-141.9029542*(0.3)</f>
        <v>-42.570886260000002</v>
      </c>
      <c r="B1188">
        <f>10.9156118615385*(0.3)</f>
        <v>3.2746835584615384</v>
      </c>
      <c r="C1188">
        <f>32.7468355846154*(0.3)</f>
        <v>9.8240506753846137</v>
      </c>
      <c r="D1188">
        <f>10.9156118615385*(0.3)</f>
        <v>3.2746835584615384</v>
      </c>
      <c r="E1188">
        <f>10.9156118615385*(0.3)</f>
        <v>3.2746835584615384</v>
      </c>
      <c r="F1188">
        <f>10.9156118615385*(0.3)</f>
        <v>3.2746835584615384</v>
      </c>
      <c r="G1188">
        <f>6.54936711692308*(0.3)</f>
        <v>1.9648101350769229</v>
      </c>
      <c r="H1188">
        <f>10.9156118615385*(0.3)</f>
        <v>3.2746835584615384</v>
      </c>
      <c r="I1188">
        <f>10.9156118615385*(0.3)</f>
        <v>3.2746835584615384</v>
      </c>
      <c r="J1188">
        <f>-2.18312237230769*(0.3)</f>
        <v>-0.65493671169230749</v>
      </c>
      <c r="K1188">
        <f>10.9156118615385*(0.3)</f>
        <v>3.2746835584615384</v>
      </c>
      <c r="L1188">
        <f>5.34864981215385*(0.3)</f>
        <v>1.604594943646154</v>
      </c>
      <c r="M1188">
        <f>12.0071730476923*(0.3)</f>
        <v>3.6021519143076923</v>
      </c>
      <c r="N1188">
        <f>10.9156118615385*(0.3)</f>
        <v>3.2746835584615384</v>
      </c>
    </row>
    <row r="1189" spans="1:14" x14ac:dyDescent="0.25">
      <c r="A1189">
        <f>-56.05274564*(0.3)</f>
        <v>-16.815823691999999</v>
      </c>
      <c r="B1189">
        <f>4.31174966461538*(0.3)</f>
        <v>1.2935248993846153</v>
      </c>
      <c r="C1189">
        <f>12.9352489938462*(0.3)</f>
        <v>3.8805746981538465</v>
      </c>
      <c r="D1189">
        <f>4.31174966461538*(0.3)</f>
        <v>1.2935248993846153</v>
      </c>
      <c r="E1189">
        <f>4.31174966461538*(0.3)</f>
        <v>1.2935248993846153</v>
      </c>
      <c r="F1189">
        <f>4.31174966461538*(0.3)</f>
        <v>1.2935248993846153</v>
      </c>
      <c r="G1189">
        <f>2.58704979876923*(0.3)</f>
        <v>0.77611493963076916</v>
      </c>
      <c r="H1189">
        <f>4.31174966461538*(0.3)</f>
        <v>1.2935248993846153</v>
      </c>
      <c r="I1189">
        <f>4.31174966461538*(0.3)</f>
        <v>1.2935248993846153</v>
      </c>
      <c r="J1189">
        <f>-0.862349932923077*(0.3)</f>
        <v>-0.25870497987692298</v>
      </c>
      <c r="K1189">
        <f>4.31174966461538*(0.3)</f>
        <v>1.2935248993846153</v>
      </c>
      <c r="L1189">
        <f>2.11275733566154*(0.3)</f>
        <v>0.63382720069846143</v>
      </c>
      <c r="M1189">
        <f>4.74292463107692*(0.3)</f>
        <v>1.4228773893230771</v>
      </c>
      <c r="N1189">
        <f>4.31174966461538*(0.3)</f>
        <v>1.2935248993846153</v>
      </c>
    </row>
    <row r="1190" spans="1:14" x14ac:dyDescent="0.25">
      <c r="A1190">
        <f>-178.7728638*(0.3)</f>
        <v>-53.631859140000003</v>
      </c>
      <c r="B1190">
        <f>13.7517587538462*(0.3)</f>
        <v>4.1255276261538461</v>
      </c>
      <c r="C1190">
        <f>41.2552762615385*(0.3)</f>
        <v>12.376582878461539</v>
      </c>
      <c r="D1190">
        <f>13.7517587538462*(0.3)</f>
        <v>4.1255276261538461</v>
      </c>
      <c r="E1190">
        <f>13.7517587538462*(0.3)</f>
        <v>4.1255276261538461</v>
      </c>
      <c r="F1190">
        <f>13.7517587538462*(0.3)</f>
        <v>4.1255276261538461</v>
      </c>
      <c r="G1190">
        <f>8.25105525230769*(0.3)</f>
        <v>2.4753165756923075</v>
      </c>
      <c r="H1190">
        <f>13.7517587538462*(0.3)</f>
        <v>4.1255276261538461</v>
      </c>
      <c r="I1190">
        <f>13.7517587538462*(0.3)</f>
        <v>4.1255276261538461</v>
      </c>
      <c r="J1190">
        <f>-2.75035175076923*(0.3)</f>
        <v>-0.82510552523076897</v>
      </c>
      <c r="K1190">
        <f>13.7517587538462*(0.3)</f>
        <v>4.1255276261538461</v>
      </c>
      <c r="L1190">
        <f>6.73836178938462*(0.3)</f>
        <v>2.0215085368153844</v>
      </c>
      <c r="M1190">
        <f>15.1269346292308*(0.3)</f>
        <v>4.5380803887692309</v>
      </c>
      <c r="N1190">
        <f>13.7517587538462*(0.3)</f>
        <v>4.1255276261538461</v>
      </c>
    </row>
    <row r="1191" spans="1:14" x14ac:dyDescent="0.25">
      <c r="A1191">
        <f>-74.00981625*(0.3)</f>
        <v>-22.202944875</v>
      </c>
      <c r="B1191">
        <f>5.69306278846154*(0.3)</f>
        <v>1.7079188365384614</v>
      </c>
      <c r="C1191">
        <f>17.0791883653846*(0.3)</f>
        <v>5.1237565096153839</v>
      </c>
      <c r="D1191">
        <f>5.69306278846154*(0.3)</f>
        <v>1.7079188365384614</v>
      </c>
      <c r="E1191">
        <f>5.69306278846154*(0.3)</f>
        <v>1.7079188365384614</v>
      </c>
      <c r="F1191">
        <f>5.69306278846154*(0.3)</f>
        <v>1.7079188365384614</v>
      </c>
      <c r="G1191">
        <f>3.41583767307692*(0.3)</f>
        <v>1.0247513019230767</v>
      </c>
      <c r="H1191">
        <f>5.69306278846154*(0.3)</f>
        <v>1.7079188365384614</v>
      </c>
      <c r="I1191">
        <f>5.69306278846154*(0.3)</f>
        <v>1.7079188365384614</v>
      </c>
      <c r="J1191">
        <f>-1.13861255769231*(0.3)</f>
        <v>-0.34158376730769219</v>
      </c>
      <c r="K1191">
        <f>5.69306278846154*(0.3)</f>
        <v>1.7079188365384614</v>
      </c>
      <c r="L1191">
        <f>2.78960076634615*(0.3)</f>
        <v>0.83688022990384614</v>
      </c>
      <c r="M1191">
        <f>6.26236906730769*(0.3)</f>
        <v>1.8787107201923077</v>
      </c>
      <c r="N1191">
        <f>5.69306278846154*(0.3)</f>
        <v>1.7079188365384614</v>
      </c>
    </row>
    <row r="1192" spans="1:14" x14ac:dyDescent="0.25">
      <c r="A1192">
        <f>-215.1879278*(0.3)</f>
        <v>-64.556378339999995</v>
      </c>
      <c r="B1192">
        <f>16.5529175230769*(0.3)</f>
        <v>4.9658752569230771</v>
      </c>
      <c r="C1192">
        <f>49.6587525692308*(0.3)</f>
        <v>14.897625770769231</v>
      </c>
      <c r="D1192">
        <f>16.5529175230769*(0.3)</f>
        <v>4.9658752569230771</v>
      </c>
      <c r="E1192">
        <f>16.5529175230769*(0.3)</f>
        <v>4.9658752569230771</v>
      </c>
      <c r="F1192">
        <f>16.5529175230769*(0.3)</f>
        <v>4.9658752569230771</v>
      </c>
      <c r="G1192">
        <f>9.93175051384615*(0.3)</f>
        <v>2.9795251541538463</v>
      </c>
      <c r="H1192">
        <f>16.5529175230769*(0.3)</f>
        <v>4.9658752569230771</v>
      </c>
      <c r="I1192">
        <f>16.5529175230769*(0.3)</f>
        <v>4.9658752569230771</v>
      </c>
      <c r="J1192">
        <f>-3.31058350461538*(0.3)</f>
        <v>-0.99317505138461526</v>
      </c>
      <c r="K1192">
        <f>16.5529175230769*(0.3)</f>
        <v>4.9658752569230771</v>
      </c>
      <c r="L1192">
        <f>8.11092958630769*(0.3)</f>
        <v>2.4332788758923076</v>
      </c>
      <c r="M1192">
        <f>18.2082092753846*(0.3)</f>
        <v>5.4624627826153853</v>
      </c>
      <c r="N1192">
        <f>16.5529175230769*(0.3)</f>
        <v>4.9658752569230771</v>
      </c>
    </row>
    <row r="1193" spans="1:14" x14ac:dyDescent="0.25">
      <c r="A1193">
        <f>-94.47589312*(0.3)</f>
        <v>-28.342767935999998</v>
      </c>
      <c r="B1193">
        <f>7.26737639384615*(0.3)</f>
        <v>2.1802129181538459</v>
      </c>
      <c r="C1193">
        <f>21.8021291815385*(0.3)</f>
        <v>6.5406387544615381</v>
      </c>
      <c r="D1193">
        <f>7.26737639384615*(0.3)</f>
        <v>2.1802129181538459</v>
      </c>
      <c r="E1193">
        <f>7.26737639384615*(0.3)</f>
        <v>2.1802129181538459</v>
      </c>
      <c r="F1193">
        <f>7.26737639384615*(0.3)</f>
        <v>2.1802129181538459</v>
      </c>
      <c r="G1193">
        <f>4.36042583630769*(0.3)</f>
        <v>1.3081277508923075</v>
      </c>
      <c r="H1193">
        <f>7.26737639384615*(0.3)</f>
        <v>2.1802129181538459</v>
      </c>
      <c r="I1193">
        <f>7.26737639384615*(0.3)</f>
        <v>2.1802129181538459</v>
      </c>
      <c r="J1193">
        <f>-1.45347527876923*(0.3)</f>
        <v>-0.43604258363076914</v>
      </c>
      <c r="K1193">
        <f>7.26737639384615*(0.3)</f>
        <v>2.1802129181538459</v>
      </c>
      <c r="L1193">
        <f>3.56101443298461*(0.3)</f>
        <v>1.0683043298953845</v>
      </c>
      <c r="M1193">
        <f>7.99411403323077*(0.3)</f>
        <v>2.3982342099692309</v>
      </c>
      <c r="N1193">
        <f>7.26737639384615*(0.3)</f>
        <v>2.1802129181538459</v>
      </c>
    </row>
    <row r="1194" spans="1:14" x14ac:dyDescent="0.25">
      <c r="A1194">
        <f>-252.2573523*(0.3)</f>
        <v>-75.677205689999994</v>
      </c>
      <c r="B1194">
        <f>19.4044117153846*(0.3)</f>
        <v>5.8213235146153846</v>
      </c>
      <c r="C1194">
        <f>58.2132351461538*(0.3)</f>
        <v>17.463970543846155</v>
      </c>
      <c r="D1194">
        <f>19.4044117153846*(0.3)</f>
        <v>5.8213235146153846</v>
      </c>
      <c r="E1194">
        <f>19.4044117153846*(0.3)</f>
        <v>5.8213235146153846</v>
      </c>
      <c r="F1194">
        <f>19.4044117153846*(0.3)</f>
        <v>5.8213235146153846</v>
      </c>
      <c r="G1194">
        <f>11.6426470292308*(0.3)</f>
        <v>3.4927941087692305</v>
      </c>
      <c r="H1194">
        <f>19.4044117153846*(0.3)</f>
        <v>5.8213235146153846</v>
      </c>
      <c r="I1194">
        <f>19.4044117153846*(0.3)</f>
        <v>5.8213235146153846</v>
      </c>
      <c r="J1194">
        <f>-3.88088234307692*(0.3)</f>
        <v>-1.1642647029230766</v>
      </c>
      <c r="K1194">
        <f>19.4044117153846*(0.3)</f>
        <v>5.8213235146153846</v>
      </c>
      <c r="L1194">
        <f>9.50816174053846*(0.3)</f>
        <v>2.8524485221615383</v>
      </c>
      <c r="M1194">
        <f>21.3448528869231*(0.3)</f>
        <v>6.4034558660769232</v>
      </c>
      <c r="N1194">
        <f>19.4044117153846*(0.3)</f>
        <v>5.8213235146153846</v>
      </c>
    </row>
    <row r="1195" spans="1:14" x14ac:dyDescent="0.25">
      <c r="A1195">
        <f>-115.8649215*(0.3)</f>
        <v>-34.759476449999994</v>
      </c>
      <c r="B1195">
        <f>8.91268626923077*(0.3)</f>
        <v>2.6738058807692302</v>
      </c>
      <c r="C1195">
        <f>26.7380588076923*(0.3)</f>
        <v>8.0214176423076911</v>
      </c>
      <c r="D1195">
        <f>8.91268626923077*(0.3)</f>
        <v>2.6738058807692302</v>
      </c>
      <c r="E1195">
        <f>8.91268626923077*(0.3)</f>
        <v>2.6738058807692302</v>
      </c>
      <c r="F1195">
        <f>8.91268626923077*(0.3)</f>
        <v>2.6738058807692302</v>
      </c>
      <c r="G1195">
        <f>5.34761176153846*(0.3)</f>
        <v>1.604283528461538</v>
      </c>
      <c r="H1195">
        <f>8.91268626923077*(0.3)</f>
        <v>2.6738058807692302</v>
      </c>
      <c r="I1195">
        <f>8.91268626923077*(0.3)</f>
        <v>2.6738058807692302</v>
      </c>
      <c r="J1195">
        <f>-1.78253725384615*(0.3)</f>
        <v>-0.534761176153846</v>
      </c>
      <c r="K1195">
        <f>8.91268626923077*(0.3)</f>
        <v>2.6738058807692302</v>
      </c>
      <c r="L1195">
        <f>4.36721627192308*(0.3)</f>
        <v>1.3101648815769227</v>
      </c>
      <c r="M1195">
        <f>9.80395489615385*(0.3)</f>
        <v>2.9411864688461535</v>
      </c>
      <c r="N1195">
        <f>8.91268626923077*(0.3)</f>
        <v>2.6738058807692302</v>
      </c>
    </row>
    <row r="1196" spans="1:14" x14ac:dyDescent="0.25">
      <c r="A1196">
        <f>-289.0846493*(0.3)</f>
        <v>-86.72539479000001</v>
      </c>
      <c r="B1196">
        <f>22.2372807153846*(0.3)</f>
        <v>6.6711842146153852</v>
      </c>
      <c r="C1196">
        <f>66.7118421461539*(0.3)</f>
        <v>20.013552643846158</v>
      </c>
      <c r="D1196">
        <f>22.2372807153846*(0.3)</f>
        <v>6.6711842146153852</v>
      </c>
      <c r="E1196">
        <f>22.2372807153846*(0.3)</f>
        <v>6.6711842146153852</v>
      </c>
      <c r="F1196">
        <f>22.2372807153846*(0.3)</f>
        <v>6.6711842146153852</v>
      </c>
      <c r="G1196">
        <f>13.3423684292308*(0.3)</f>
        <v>4.0027105287692306</v>
      </c>
      <c r="H1196">
        <f>22.2372807153846*(0.3)</f>
        <v>6.6711842146153852</v>
      </c>
      <c r="I1196">
        <f>22.2372807153846*(0.3)</f>
        <v>6.6711842146153852</v>
      </c>
      <c r="J1196">
        <f>-4.44745614307692*(0.3)</f>
        <v>-1.3342368429230766</v>
      </c>
      <c r="K1196">
        <f>22.2372807153846*(0.3)</f>
        <v>6.6711842146153852</v>
      </c>
      <c r="L1196">
        <f>10.8962675505385*(0.3)</f>
        <v>3.2688802651615387</v>
      </c>
      <c r="M1196">
        <f>24.4610087869231*(0.3)</f>
        <v>7.3383026360769241</v>
      </c>
      <c r="N1196">
        <f>22.2372807153846*(0.3)</f>
        <v>6.6711842146153852</v>
      </c>
    </row>
    <row r="1197" spans="1:14" x14ac:dyDescent="0.25">
      <c r="A1197">
        <f>-140.9305564*(0.3)</f>
        <v>-42.279166920000002</v>
      </c>
      <c r="B1197">
        <f>10.8408120307692*(0.3)</f>
        <v>3.2522436092307689</v>
      </c>
      <c r="C1197">
        <f>32.5224360923077*(0.3)</f>
        <v>9.7567308276923068</v>
      </c>
      <c r="D1197">
        <f>10.8408120307692*(0.3)</f>
        <v>3.2522436092307689</v>
      </c>
      <c r="E1197">
        <f>10.8408120307692*(0.3)</f>
        <v>3.2522436092307689</v>
      </c>
      <c r="F1197">
        <f>10.8408120307692*(0.3)</f>
        <v>3.2522436092307689</v>
      </c>
      <c r="G1197">
        <f>6.50448721846154*(0.3)</f>
        <v>1.9513461655384612</v>
      </c>
      <c r="H1197">
        <f>10.8408120307692*(0.3)</f>
        <v>3.2522436092307689</v>
      </c>
      <c r="I1197">
        <f>10.8408120307692*(0.3)</f>
        <v>3.2522436092307689</v>
      </c>
      <c r="J1197">
        <f>-2.16816240615385*(0.3)</f>
        <v>-0.65044872184615377</v>
      </c>
      <c r="K1197">
        <f>10.8408120307692*(0.3)</f>
        <v>3.2522436092307689</v>
      </c>
      <c r="L1197">
        <f>5.31199789507692*(0.3)</f>
        <v>1.5935993685230767</v>
      </c>
      <c r="M1197">
        <f>11.9248932338462*(0.3)</f>
        <v>3.5774679701538461</v>
      </c>
      <c r="N1197">
        <f>10.8408120307692*(0.3)</f>
        <v>3.2522436092307689</v>
      </c>
    </row>
    <row r="1198" spans="1:14" x14ac:dyDescent="0.25">
      <c r="A1198">
        <f>-321.5589685*(0.3)</f>
        <v>-96.46769055</v>
      </c>
      <c r="B1198">
        <f>24.7353052692308*(0.3)</f>
        <v>7.42059158076923</v>
      </c>
      <c r="C1198">
        <f>74.2059158076923*(0.3)</f>
        <v>22.26177474230769</v>
      </c>
      <c r="D1198">
        <f>24.7353052692308*(0.3)</f>
        <v>7.42059158076923</v>
      </c>
      <c r="E1198">
        <f>24.7353052692308*(0.3)</f>
        <v>7.42059158076923</v>
      </c>
      <c r="F1198">
        <f>24.7353052692308*(0.3)</f>
        <v>7.42059158076923</v>
      </c>
      <c r="G1198">
        <f>14.8411831615385*(0.3)</f>
        <v>4.4523549484615375</v>
      </c>
      <c r="H1198">
        <f>24.7353052692308*(0.3)</f>
        <v>7.42059158076923</v>
      </c>
      <c r="I1198">
        <f>24.7353052692308*(0.3)</f>
        <v>7.42059158076923</v>
      </c>
      <c r="J1198">
        <f>-4.94706105384615*(0.3)</f>
        <v>-1.4841183161538456</v>
      </c>
      <c r="K1198">
        <f>24.7353052692308*(0.3)</f>
        <v>7.42059158076923</v>
      </c>
      <c r="L1198">
        <f>12.1202995819231*(0.3)</f>
        <v>3.6360898745769226</v>
      </c>
      <c r="M1198">
        <f>27.2088357961538*(0.3)</f>
        <v>8.1626507388461533</v>
      </c>
      <c r="N1198">
        <f>24.7353052692308*(0.3)</f>
        <v>7.42059158076923</v>
      </c>
    </row>
    <row r="1199" spans="1:14" x14ac:dyDescent="0.25">
      <c r="A1199">
        <f>-169.4871604*(0.3)</f>
        <v>-50.846148119999995</v>
      </c>
      <c r="B1199">
        <f>13.0374738769231*(0.3)</f>
        <v>3.9112421630769227</v>
      </c>
      <c r="C1199">
        <f>39.1124216307692*(0.3)</f>
        <v>11.73372648923077</v>
      </c>
      <c r="D1199">
        <f>13.0374738769231*(0.3)</f>
        <v>3.9112421630769227</v>
      </c>
      <c r="E1199">
        <f>13.0374738769231*(0.3)</f>
        <v>3.9112421630769227</v>
      </c>
      <c r="F1199">
        <f>13.0374738769231*(0.3)</f>
        <v>3.9112421630769227</v>
      </c>
      <c r="G1199">
        <f>7.82248432615385*(0.3)</f>
        <v>2.3467452978461534</v>
      </c>
      <c r="H1199">
        <f>13.0374738769231*(0.3)</f>
        <v>3.9112421630769227</v>
      </c>
      <c r="I1199">
        <f>13.0374738769231*(0.3)</f>
        <v>3.9112421630769227</v>
      </c>
      <c r="J1199">
        <f>-2.60749477538461*(0.3)</f>
        <v>-0.78224843261538435</v>
      </c>
      <c r="K1199">
        <f>13.0374738769231*(0.3)</f>
        <v>3.9112421630769227</v>
      </c>
      <c r="L1199">
        <f>6.38836219969231*(0.3)</f>
        <v>1.9165086599076924</v>
      </c>
      <c r="M1199">
        <f>14.3412212646154*(0.3)</f>
        <v>4.3023663793846154</v>
      </c>
      <c r="N1199">
        <f>13.0374738769231*(0.3)</f>
        <v>3.9112421630769227</v>
      </c>
    </row>
    <row r="1200" spans="1:14" x14ac:dyDescent="0.25">
      <c r="A1200">
        <f>-360.1392605*(0.3)</f>
        <v>-108.04177814999998</v>
      </c>
      <c r="B1200">
        <f>27.7030200384615*(0.3)</f>
        <v>8.3109060115384619</v>
      </c>
      <c r="C1200">
        <f>83.1090601153846*(0.3)</f>
        <v>24.93271803461538</v>
      </c>
      <c r="D1200">
        <f>27.7030200384615*(0.3)</f>
        <v>8.3109060115384619</v>
      </c>
      <c r="E1200">
        <f>27.7030200384615*(0.3)</f>
        <v>8.3109060115384619</v>
      </c>
      <c r="F1200">
        <f>27.7030200384615*(0.3)</f>
        <v>8.3109060115384619</v>
      </c>
      <c r="G1200">
        <f>16.6218120230769*(0.3)</f>
        <v>4.9865436069230773</v>
      </c>
      <c r="H1200">
        <f>27.7030200384615*(0.3)</f>
        <v>8.3109060115384619</v>
      </c>
      <c r="I1200">
        <f>27.7030200384615*(0.3)</f>
        <v>8.3109060115384619</v>
      </c>
      <c r="J1200">
        <f>-5.54060400769231*(0.3)</f>
        <v>-1.6621812023076918</v>
      </c>
      <c r="K1200">
        <f>27.7030200384615*(0.3)</f>
        <v>8.3109060115384619</v>
      </c>
      <c r="L1200">
        <f>13.5744798188462*(0.3)</f>
        <v>4.0723439456538459</v>
      </c>
      <c r="M1200">
        <f>30.4733220423077*(0.3)</f>
        <v>9.1419966126923082</v>
      </c>
      <c r="N1200">
        <f>27.7030200384615*(0.3)</f>
        <v>8.3109060115384619</v>
      </c>
    </row>
    <row r="1201" spans="1:14" x14ac:dyDescent="0.25">
      <c r="A1201">
        <f>-3.205057295*(0.3)</f>
        <v>-0.96151718850000001</v>
      </c>
      <c r="B1201">
        <f>0.246542868846154*(0.3)</f>
        <v>7.3962860653846149E-2</v>
      </c>
      <c r="C1201">
        <f>0.739628606538462*(0.3)</f>
        <v>0.22188858196153846</v>
      </c>
      <c r="D1201">
        <f>0.246542868846154*(0.3)</f>
        <v>7.3962860653846149E-2</v>
      </c>
      <c r="E1201">
        <f>0.246542868846154*(0.3)</f>
        <v>7.3962860653846149E-2</v>
      </c>
      <c r="F1201">
        <f>0.246542868846154*(0.3)</f>
        <v>7.3962860653846149E-2</v>
      </c>
      <c r="G1201">
        <f>0.147925721307692*(0.3)</f>
        <v>4.4377716392307691E-2</v>
      </c>
      <c r="H1201">
        <f>0.246542868846154*(0.3)</f>
        <v>7.3962860653846149E-2</v>
      </c>
      <c r="I1201">
        <f>0.246542868846154*(0.3)</f>
        <v>7.3962860653846149E-2</v>
      </c>
      <c r="J1201">
        <f>-0.0493085737692308*(0.3)</f>
        <v>-1.4792572130769226E-2</v>
      </c>
      <c r="K1201">
        <f>0.246542868846154*(0.3)</f>
        <v>7.3962860653846149E-2</v>
      </c>
      <c r="L1201">
        <f>0.120806005734615*(0.3)</f>
        <v>3.624180172038461E-2</v>
      </c>
      <c r="M1201">
        <f>0.271197155730769*(0.3)</f>
        <v>8.1359146719230765E-2</v>
      </c>
      <c r="N1201">
        <f>0.246542868846154*(0.3)</f>
        <v>7.3962860653846149E-2</v>
      </c>
    </row>
    <row r="1202" spans="1:14" x14ac:dyDescent="0.25">
      <c r="A1202">
        <f>-115.2894827*(0.3)</f>
        <v>-34.586844809999995</v>
      </c>
      <c r="B1202">
        <f>8.86842174615385*(0.3)</f>
        <v>2.6605265238461535</v>
      </c>
      <c r="C1202">
        <f>26.6052652384615*(0.3)</f>
        <v>7.981579571538461</v>
      </c>
      <c r="D1202">
        <f>8.86842174615385*(0.3)</f>
        <v>2.6605265238461535</v>
      </c>
      <c r="E1202">
        <f>8.86842174615385*(0.3)</f>
        <v>2.6605265238461535</v>
      </c>
      <c r="F1202">
        <f>8.86842174615385*(0.3)</f>
        <v>2.6605265238461535</v>
      </c>
      <c r="G1202">
        <f>5.32105304769231*(0.3)</f>
        <v>1.5963159143076922</v>
      </c>
      <c r="H1202">
        <f>8.86842174615385*(0.3)</f>
        <v>2.6605265238461535</v>
      </c>
      <c r="I1202">
        <f>8.86842174615385*(0.3)</f>
        <v>2.6605265238461535</v>
      </c>
      <c r="J1202">
        <f>-1.77368434923077*(0.3)</f>
        <v>-0.53210530476923057</v>
      </c>
      <c r="K1202">
        <f>8.86842174615385*(0.3)</f>
        <v>2.6605265238461535</v>
      </c>
      <c r="L1202">
        <f>4.34552665561538*(0.3)</f>
        <v>1.3036579966846153</v>
      </c>
      <c r="M1202">
        <f>9.75526392076923*(0.3)</f>
        <v>2.9265791762307694</v>
      </c>
      <c r="N1202">
        <f>8.86842174615385*(0.3)</f>
        <v>2.6605265238461535</v>
      </c>
    </row>
    <row r="1203" spans="1:14" x14ac:dyDescent="0.25">
      <c r="A1203">
        <f>-4.571033017*(0.3)</f>
        <v>-1.3713099051000002</v>
      </c>
      <c r="B1203">
        <f>0.351617924384615*(0.3)</f>
        <v>0.10548537731538463</v>
      </c>
      <c r="C1203">
        <f>1.05485377315385*(0.3)</f>
        <v>0.31645613194615391</v>
      </c>
      <c r="D1203">
        <f>0.351617924384615*(0.3)</f>
        <v>0.10548537731538463</v>
      </c>
      <c r="E1203">
        <f>0.351617924384615*(0.3)</f>
        <v>0.10548537731538463</v>
      </c>
      <c r="F1203">
        <f>0.351617924384615*(0.3)</f>
        <v>0.10548537731538463</v>
      </c>
      <c r="G1203">
        <f>0.210970754630769*(0.3)</f>
        <v>6.3291226389230779E-2</v>
      </c>
      <c r="H1203">
        <f>0.351617924384615*(0.3)</f>
        <v>0.10548537731538463</v>
      </c>
      <c r="I1203">
        <f>0.351617924384615*(0.3)</f>
        <v>0.10548537731538463</v>
      </c>
      <c r="J1203">
        <f>-0.0703235848769231*(0.3)</f>
        <v>-2.109707546307692E-2</v>
      </c>
      <c r="K1203">
        <f>0.351617924384615*(0.3)</f>
        <v>0.10548537731538463</v>
      </c>
      <c r="L1203">
        <f>0.172292782948462*(0.3)</f>
        <v>5.1687834884538465E-2</v>
      </c>
      <c r="M1203">
        <f>0.386779716823077*(0.3)</f>
        <v>0.11603391504692309</v>
      </c>
      <c r="N1203">
        <f>0.351617924384615*(0.3)</f>
        <v>0.10548537731538463</v>
      </c>
    </row>
    <row r="1204" spans="1:14" x14ac:dyDescent="0.25">
      <c r="A1204">
        <f>-152.4302321*(0.3)</f>
        <v>-45.729069630000005</v>
      </c>
      <c r="B1204">
        <f>11.7254024692308*(0.3)</f>
        <v>3.5176207407692313</v>
      </c>
      <c r="C1204">
        <f>35.1762074076923*(0.3)</f>
        <v>10.552862222307693</v>
      </c>
      <c r="D1204">
        <f>11.7254024692308*(0.3)</f>
        <v>3.5176207407692313</v>
      </c>
      <c r="E1204">
        <f>11.7254024692308*(0.3)</f>
        <v>3.5176207407692313</v>
      </c>
      <c r="F1204">
        <f>11.7254024692308*(0.3)</f>
        <v>3.5176207407692313</v>
      </c>
      <c r="G1204">
        <f>7.03524148153846*(0.3)</f>
        <v>2.1105724444615386</v>
      </c>
      <c r="H1204">
        <f>11.7254024692308*(0.3)</f>
        <v>3.5176207407692313</v>
      </c>
      <c r="I1204">
        <f>11.7254024692308*(0.3)</f>
        <v>3.5176207407692313</v>
      </c>
      <c r="J1204">
        <f>-2.34508049384615*(0.3)</f>
        <v>-0.70352414815384601</v>
      </c>
      <c r="K1204">
        <f>11.7254024692308*(0.3)</f>
        <v>3.5176207407692313</v>
      </c>
      <c r="L1204">
        <f>5.74544720992308*(0.3)</f>
        <v>1.7236341629769232</v>
      </c>
      <c r="M1204">
        <f>12.8979427161538*(0.3)</f>
        <v>3.869382814846154</v>
      </c>
      <c r="N1204">
        <f>11.7254024692308*(0.3)</f>
        <v>3.5176207407692313</v>
      </c>
    </row>
    <row r="1205" spans="1:14" x14ac:dyDescent="0.25">
      <c r="A1205">
        <f>-8.983920963*(0.3)</f>
        <v>-2.6951762888999995</v>
      </c>
      <c r="B1205">
        <f>0.691070843307692*(0.3)</f>
        <v>0.20732125299230766</v>
      </c>
      <c r="C1205">
        <f>2.07321252992308*(0.3)</f>
        <v>0.62196375897692302</v>
      </c>
      <c r="D1205">
        <f>0.691070843307692*(0.3)</f>
        <v>0.20732125299230766</v>
      </c>
      <c r="E1205">
        <f>0.691070843307692*(0.3)</f>
        <v>0.20732125299230766</v>
      </c>
      <c r="F1205">
        <f>0.691070843307692*(0.3)</f>
        <v>0.20732125299230766</v>
      </c>
      <c r="G1205">
        <f>0.414642505984615*(0.3)</f>
        <v>0.12439275179538459</v>
      </c>
      <c r="H1205">
        <f>0.691070843307692*(0.3)</f>
        <v>0.20732125299230766</v>
      </c>
      <c r="I1205">
        <f>0.691070843307692*(0.3)</f>
        <v>0.20732125299230766</v>
      </c>
      <c r="J1205">
        <f>-0.138214168661538*(0.3)</f>
        <v>-4.1464250598461518E-2</v>
      </c>
      <c r="K1205">
        <f>0.691070843307692*(0.3)</f>
        <v>0.20732125299230766</v>
      </c>
      <c r="L1205">
        <f>0.338624713220769*(0.3)</f>
        <v>0.10158741396623074</v>
      </c>
      <c r="M1205">
        <f>0.760177927638461*(0.3)</f>
        <v>0.22805337829153843</v>
      </c>
      <c r="N1205">
        <f>0.691070843307692*(0.3)</f>
        <v>0.20732125299230766</v>
      </c>
    </row>
    <row r="1206" spans="1:14" x14ac:dyDescent="0.25">
      <c r="A1206">
        <f>-192.960416*(0.3)</f>
        <v>-57.8881248</v>
      </c>
      <c r="B1206">
        <f>14.8431089230769*(0.3)</f>
        <v>4.4529326769230773</v>
      </c>
      <c r="C1206">
        <f>44.5293267692308*(0.3)</f>
        <v>13.358798030769231</v>
      </c>
      <c r="D1206">
        <f>14.8431089230769*(0.3)</f>
        <v>4.4529326769230773</v>
      </c>
      <c r="E1206">
        <f>14.8431089230769*(0.3)</f>
        <v>4.4529326769230773</v>
      </c>
      <c r="F1206">
        <f>14.8431089230769*(0.3)</f>
        <v>4.4529326769230773</v>
      </c>
      <c r="G1206">
        <f>8.90586535384615*(0.3)</f>
        <v>2.6717596061538464</v>
      </c>
      <c r="H1206">
        <f>14.8431089230769*(0.3)</f>
        <v>4.4529326769230773</v>
      </c>
      <c r="I1206">
        <f>14.8431089230769*(0.3)</f>
        <v>4.4529326769230773</v>
      </c>
      <c r="J1206">
        <f>-2.96862178461538*(0.3)</f>
        <v>-0.8905865353846153</v>
      </c>
      <c r="K1206">
        <f>14.8431089230769*(0.3)</f>
        <v>4.4529326769230773</v>
      </c>
      <c r="L1206">
        <f>7.27312337230769*(0.3)</f>
        <v>2.181937011692308</v>
      </c>
      <c r="M1206">
        <f>16.3274198153846*(0.3)</f>
        <v>4.898225944615386</v>
      </c>
      <c r="N1206">
        <f>14.8431089230769*(0.3)</f>
        <v>4.4529326769230773</v>
      </c>
    </row>
    <row r="1207" spans="1:14" x14ac:dyDescent="0.25">
      <c r="A1207">
        <f>-12.19019672*(0.3)</f>
        <v>-3.6570590159999998</v>
      </c>
      <c r="B1207">
        <f>0.93770744*(0.3)</f>
        <v>0.281312232</v>
      </c>
      <c r="C1207">
        <f>2.81312232*(0.3)</f>
        <v>0.84393669599999988</v>
      </c>
      <c r="D1207">
        <f>0.93770744*(0.3)</f>
        <v>0.281312232</v>
      </c>
      <c r="E1207">
        <f>0.93770744*(0.3)</f>
        <v>0.281312232</v>
      </c>
      <c r="F1207">
        <f>0.93770744*(0.3)</f>
        <v>0.281312232</v>
      </c>
      <c r="G1207">
        <f>0.562624464*(0.3)</f>
        <v>0.1687873392</v>
      </c>
      <c r="H1207">
        <f>0.93770744*(0.3)</f>
        <v>0.281312232</v>
      </c>
      <c r="I1207">
        <f>0.93770744*(0.3)</f>
        <v>0.281312232</v>
      </c>
      <c r="J1207">
        <f>-0.187541488*(0.3)</f>
        <v>-5.6262446399999985E-2</v>
      </c>
      <c r="K1207">
        <f>0.93770744*(0.3)</f>
        <v>0.281312232</v>
      </c>
      <c r="L1207">
        <f>0.4594766456*(0.3)</f>
        <v>0.13784299367999997</v>
      </c>
      <c r="M1207">
        <f>1.031478184*(0.3)</f>
        <v>0.30944345519999999</v>
      </c>
      <c r="N1207">
        <f>0.93770744*(0.3)</f>
        <v>0.281312232</v>
      </c>
    </row>
    <row r="1208" spans="1:14" x14ac:dyDescent="0.25">
      <c r="A1208">
        <f>-229.3176986*(0.3)</f>
        <v>-68.795309579999994</v>
      </c>
      <c r="B1208">
        <f>17.6398229692308*(0.3)</f>
        <v>5.2919468907692311</v>
      </c>
      <c r="C1208">
        <f>52.9194689076923*(0.3)</f>
        <v>15.875840672307692</v>
      </c>
      <c r="D1208">
        <f>17.6398229692308*(0.3)</f>
        <v>5.2919468907692311</v>
      </c>
      <c r="E1208">
        <f>17.6398229692308*(0.3)</f>
        <v>5.2919468907692311</v>
      </c>
      <c r="F1208">
        <f>17.6398229692308*(0.3)</f>
        <v>5.2919468907692311</v>
      </c>
      <c r="G1208">
        <f>10.5838937815385*(0.3)</f>
        <v>3.1751681344615386</v>
      </c>
      <c r="H1208">
        <f>17.6398229692308*(0.3)</f>
        <v>5.2919468907692311</v>
      </c>
      <c r="I1208">
        <f>17.6398229692308*(0.3)</f>
        <v>5.2919468907692311</v>
      </c>
      <c r="J1208">
        <f>-3.52796459384615*(0.3)</f>
        <v>-1.058389378153846</v>
      </c>
      <c r="K1208">
        <f>17.6398229692308*(0.3)</f>
        <v>5.2919468907692311</v>
      </c>
      <c r="L1208">
        <f>8.64351325492308*(0.3)</f>
        <v>2.5930539764769232</v>
      </c>
      <c r="M1208">
        <f>19.4038052661538*(0.3)</f>
        <v>5.821141579846155</v>
      </c>
      <c r="N1208">
        <f>17.6398229692308*(0.3)</f>
        <v>5.2919468907692311</v>
      </c>
    </row>
    <row r="1209" spans="1:14" x14ac:dyDescent="0.25">
      <c r="A1209">
        <f>-10.32534751*(0.3)</f>
        <v>-3.0976042530000001</v>
      </c>
      <c r="B1209">
        <f>0.794257500769231*(0.3)</f>
        <v>0.23827725023076921</v>
      </c>
      <c r="C1209">
        <f>2.38277250230769*(0.3)</f>
        <v>0.71483175069230775</v>
      </c>
      <c r="D1209">
        <f>0.794257500769231*(0.3)</f>
        <v>0.23827725023076921</v>
      </c>
      <c r="E1209">
        <f>0.794257500769231*(0.3)</f>
        <v>0.23827725023076921</v>
      </c>
      <c r="F1209">
        <f>0.794257500769231*(0.3)</f>
        <v>0.23827725023076921</v>
      </c>
      <c r="G1209">
        <f>0.476554500461538*(0.3)</f>
        <v>0.14296635013846151</v>
      </c>
      <c r="H1209">
        <f>0.794257500769231*(0.3)</f>
        <v>0.23827725023076921</v>
      </c>
      <c r="I1209">
        <f>0.794257500769231*(0.3)</f>
        <v>0.23827725023076921</v>
      </c>
      <c r="J1209">
        <f>-0.158851500153846*(0.3)</f>
        <v>-4.7655450046153833E-2</v>
      </c>
      <c r="K1209">
        <f>0.794257500769231*(0.3)</f>
        <v>0.23827725023076921</v>
      </c>
      <c r="L1209">
        <f>0.389186175376923*(0.3)</f>
        <v>0.11675585261307692</v>
      </c>
      <c r="M1209">
        <f>0.873683250846154*(0.3)</f>
        <v>0.26210497525384613</v>
      </c>
      <c r="N1209">
        <f>0.794257500769231*(0.3)</f>
        <v>0.23827725023076921</v>
      </c>
    </row>
    <row r="1210" spans="1:14" x14ac:dyDescent="0.25">
      <c r="A1210">
        <f>-268.2172727*(0.3)</f>
        <v>-80.465181810000004</v>
      </c>
      <c r="B1210">
        <f>20.6320979*(0.3)</f>
        <v>6.1896293700000005</v>
      </c>
      <c r="C1210">
        <f>61.8962937*(0.3)</f>
        <v>18.56888811</v>
      </c>
      <c r="D1210">
        <f>20.6320979*(0.3)</f>
        <v>6.1896293700000005</v>
      </c>
      <c r="E1210">
        <f>20.6320979*(0.3)</f>
        <v>6.1896293700000005</v>
      </c>
      <c r="F1210">
        <f>20.6320979*(0.3)</f>
        <v>6.1896293700000005</v>
      </c>
      <c r="G1210">
        <f>12.37925874*(0.3)</f>
        <v>3.7137776220000003</v>
      </c>
      <c r="H1210">
        <f>20.6320979*(0.3)</f>
        <v>6.1896293700000005</v>
      </c>
      <c r="I1210">
        <f>20.6320979*(0.3)</f>
        <v>6.1896293700000005</v>
      </c>
      <c r="J1210">
        <f>-4.12641958*(0.3)</f>
        <v>-1.2379258739999999</v>
      </c>
      <c r="K1210">
        <f>20.6320979*(0.3)</f>
        <v>6.1896293700000005</v>
      </c>
      <c r="L1210">
        <f>10.109727971*(0.3)</f>
        <v>3.0329183913</v>
      </c>
      <c r="M1210">
        <f>22.69530769*(0.3)</f>
        <v>6.8085923070000005</v>
      </c>
      <c r="N1210">
        <f>20.6320979*(0.3)</f>
        <v>6.1896293700000005</v>
      </c>
    </row>
    <row r="1211" spans="1:14" x14ac:dyDescent="0.25">
      <c r="A1211">
        <f>-10.25299735*(0.3)</f>
        <v>-3.0758992049999998</v>
      </c>
      <c r="B1211">
        <f>0.788692103846154*(0.3)</f>
        <v>0.23660763115384614</v>
      </c>
      <c r="C1211">
        <f>2.36607631153846*(0.3)</f>
        <v>0.70982289346153837</v>
      </c>
      <c r="D1211">
        <f>0.788692103846154*(0.3)</f>
        <v>0.23660763115384614</v>
      </c>
      <c r="E1211">
        <f>0.788692103846154*(0.3)</f>
        <v>0.23660763115384614</v>
      </c>
      <c r="F1211">
        <f>0.788692103846154*(0.3)</f>
        <v>0.23660763115384614</v>
      </c>
      <c r="G1211">
        <f>0.473215262307692*(0.3)</f>
        <v>0.14196457869230769</v>
      </c>
      <c r="H1211">
        <f>0.788692103846154*(0.3)</f>
        <v>0.23660763115384614</v>
      </c>
      <c r="I1211">
        <f>0.788692103846154*(0.3)</f>
        <v>0.23660763115384614</v>
      </c>
      <c r="J1211">
        <f>-0.157738420769231*(0.3)</f>
        <v>-4.7321526230769219E-2</v>
      </c>
      <c r="K1211">
        <f>0.788692103846154*(0.3)</f>
        <v>0.23660763115384614</v>
      </c>
      <c r="L1211">
        <f>0.386459130884615*(0.3)</f>
        <v>0.1159377392653846</v>
      </c>
      <c r="M1211">
        <f>0.867561314230769*(0.3)</f>
        <v>0.26026839426923076</v>
      </c>
      <c r="N1211">
        <f>0.788692103846154*(0.3)</f>
        <v>0.23660763115384614</v>
      </c>
    </row>
    <row r="1212" spans="1:14" x14ac:dyDescent="0.25">
      <c r="A1212">
        <f>-305.6312278*(0.3)</f>
        <v>-91.689368339999987</v>
      </c>
      <c r="B1212">
        <f>23.5100944461538*(0.3)</f>
        <v>7.0530283338461528</v>
      </c>
      <c r="C1212">
        <f>70.5302833384615*(0.3)</f>
        <v>21.159085001538458</v>
      </c>
      <c r="D1212">
        <f>23.5100944461538*(0.3)</f>
        <v>7.0530283338461528</v>
      </c>
      <c r="E1212">
        <f>23.5100944461538*(0.3)</f>
        <v>7.0530283338461528</v>
      </c>
      <c r="F1212">
        <f>23.5100944461538*(0.3)</f>
        <v>7.0530283338461528</v>
      </c>
      <c r="G1212">
        <f>14.1060566676923*(0.3)</f>
        <v>4.2318170003076911</v>
      </c>
      <c r="H1212">
        <f>23.5100944461538*(0.3)</f>
        <v>7.0530283338461528</v>
      </c>
      <c r="I1212">
        <f>23.5100944461538*(0.3)</f>
        <v>7.0530283338461528</v>
      </c>
      <c r="J1212">
        <f>-4.70201888923077*(0.3)</f>
        <v>-1.4106056667692304</v>
      </c>
      <c r="K1212">
        <f>23.5100944461538*(0.3)</f>
        <v>7.0530283338461528</v>
      </c>
      <c r="L1212">
        <f>11.5199462786154*(0.3)</f>
        <v>3.4559838835846146</v>
      </c>
      <c r="M1212">
        <f>25.8611038907692*(0.3)</f>
        <v>7.758331167230768</v>
      </c>
      <c r="N1212">
        <f>23.5100944461538*(0.3)</f>
        <v>7.0530283338461528</v>
      </c>
    </row>
    <row r="1213" spans="1:14" x14ac:dyDescent="0.25">
      <c r="A1213">
        <f>-17.79443626*(0.3)</f>
        <v>-5.3383308779999998</v>
      </c>
      <c r="B1213">
        <f>1.36880278923077*(0.3)</f>
        <v>0.41064083676923074</v>
      </c>
      <c r="C1213">
        <f>4.10640836769231*(0.3)</f>
        <v>1.2319225103076923</v>
      </c>
      <c r="D1213">
        <f>1.36880278923077*(0.3)</f>
        <v>0.41064083676923074</v>
      </c>
      <c r="E1213">
        <f>1.36880278923077*(0.3)</f>
        <v>0.41064083676923074</v>
      </c>
      <c r="F1213">
        <f>1.36880278923077*(0.3)</f>
        <v>0.41064083676923074</v>
      </c>
      <c r="G1213">
        <f>0.821281673538461*(0.3)</f>
        <v>0.24638450206153845</v>
      </c>
      <c r="H1213">
        <f>1.36880278923077*(0.3)</f>
        <v>0.41064083676923074</v>
      </c>
      <c r="I1213">
        <f>1.36880278923077*(0.3)</f>
        <v>0.41064083676923074</v>
      </c>
      <c r="J1213">
        <f>-0.273760557846154*(0.3)</f>
        <v>-8.2128167353846135E-2</v>
      </c>
      <c r="K1213">
        <f>1.36880278923077*(0.3)</f>
        <v>0.41064083676923074</v>
      </c>
      <c r="L1213">
        <f>0.670713366723077*(0.3)</f>
        <v>0.20121401001692307</v>
      </c>
      <c r="M1213">
        <f>1.50568306815385*(0.3)</f>
        <v>0.45170492044615385</v>
      </c>
      <c r="N1213">
        <f>1.36880278923077*(0.3)</f>
        <v>0.41064083676923074</v>
      </c>
    </row>
    <row r="1214" spans="1:14" x14ac:dyDescent="0.25">
      <c r="A1214">
        <f>-345.5038213*(0.3)</f>
        <v>-103.65114639000001</v>
      </c>
      <c r="B1214">
        <f>26.5772170230769*(0.3)</f>
        <v>7.9731651069230773</v>
      </c>
      <c r="C1214">
        <f>79.7316510692308*(0.3)</f>
        <v>23.919495320769233</v>
      </c>
      <c r="D1214">
        <f>26.5772170230769*(0.3)</f>
        <v>7.9731651069230773</v>
      </c>
      <c r="E1214">
        <f>26.5772170230769*(0.3)</f>
        <v>7.9731651069230773</v>
      </c>
      <c r="F1214">
        <f>26.5772170230769*(0.3)</f>
        <v>7.9731651069230773</v>
      </c>
      <c r="G1214">
        <f>15.9463302138462*(0.3)</f>
        <v>4.7838990641538466</v>
      </c>
      <c r="H1214">
        <f>26.5772170230769*(0.3)</f>
        <v>7.9731651069230773</v>
      </c>
      <c r="I1214">
        <f>26.5772170230769*(0.3)</f>
        <v>7.9731651069230773</v>
      </c>
      <c r="J1214">
        <f>-5.31544340461538*(0.3)</f>
        <v>-1.5946330213846152</v>
      </c>
      <c r="K1214">
        <f>26.5772170230769*(0.3)</f>
        <v>7.9731651069230773</v>
      </c>
      <c r="L1214">
        <f>13.0228363413077*(0.3)</f>
        <v>3.9068509023923079</v>
      </c>
      <c r="M1214">
        <f>29.2349387253846*(0.3)</f>
        <v>8.7704816176153848</v>
      </c>
      <c r="N1214">
        <f>26.5772170230769*(0.3)</f>
        <v>7.9731651069230773</v>
      </c>
    </row>
    <row r="1215" spans="1:14" x14ac:dyDescent="0.25">
      <c r="A1215">
        <f>-19.04373631*(0.3)</f>
        <v>-5.7131208930000001</v>
      </c>
      <c r="B1215">
        <f>1.46490279307692*(0.3)</f>
        <v>0.43947083792307695</v>
      </c>
      <c r="C1215">
        <f>4.39470837923077*(0.3)</f>
        <v>1.3184125137692306</v>
      </c>
      <c r="D1215">
        <f>1.46490279307692*(0.3)</f>
        <v>0.43947083792307695</v>
      </c>
      <c r="E1215">
        <f>1.46490279307692*(0.3)</f>
        <v>0.43947083792307695</v>
      </c>
      <c r="F1215">
        <f>1.46490279307692*(0.3)</f>
        <v>0.43947083792307695</v>
      </c>
      <c r="G1215">
        <f>0.878941675846154*(0.3)</f>
        <v>0.26368250275384614</v>
      </c>
      <c r="H1215">
        <f>1.46490279307692*(0.3)</f>
        <v>0.43947083792307695</v>
      </c>
      <c r="I1215">
        <f>1.46490279307692*(0.3)</f>
        <v>0.43947083792307695</v>
      </c>
      <c r="J1215">
        <f>-0.292980558615385*(0.3)</f>
        <v>-8.7894167584615365E-2</v>
      </c>
      <c r="K1215">
        <f>1.46490279307692*(0.3)</f>
        <v>0.43947083792307695</v>
      </c>
      <c r="L1215">
        <f>0.717802368607692*(0.3)</f>
        <v>0.21534071058230769</v>
      </c>
      <c r="M1215">
        <f>1.61139307238462*(0.3)</f>
        <v>0.48341792171538467</v>
      </c>
      <c r="N1215">
        <f>1.46490279307692*(0.3)</f>
        <v>0.43947083792307695</v>
      </c>
    </row>
    <row r="1216" spans="1:14" x14ac:dyDescent="0.25">
      <c r="A1216">
        <f>-383.200606*(0.3)</f>
        <v>-114.9601818</v>
      </c>
      <c r="B1216">
        <f>29.4769696923077*(0.3)</f>
        <v>8.8430909076923072</v>
      </c>
      <c r="C1216">
        <f>88.4309090769231*(0.3)</f>
        <v>26.529272723076922</v>
      </c>
      <c r="D1216">
        <f>29.4769696923077*(0.3)</f>
        <v>8.8430909076923072</v>
      </c>
      <c r="E1216">
        <f>29.4769696923077*(0.3)</f>
        <v>8.8430909076923072</v>
      </c>
      <c r="F1216">
        <f>29.4769696923077*(0.3)</f>
        <v>8.8430909076923072</v>
      </c>
      <c r="G1216">
        <f>17.6861818153846*(0.3)</f>
        <v>5.305854544615384</v>
      </c>
      <c r="H1216">
        <f>29.4769696923077*(0.3)</f>
        <v>8.8430909076923072</v>
      </c>
      <c r="I1216">
        <f>29.4769696923077*(0.3)</f>
        <v>8.8430909076923072</v>
      </c>
      <c r="J1216">
        <f>-5.89539393846154*(0.3)</f>
        <v>-1.7686181815384612</v>
      </c>
      <c r="K1216">
        <f>29.4769696923077*(0.3)</f>
        <v>8.8430909076923072</v>
      </c>
      <c r="L1216">
        <f>14.4437151492308*(0.3)</f>
        <v>4.3331145447692299</v>
      </c>
      <c r="M1216">
        <f>32.4246666615385*(0.3)</f>
        <v>9.7273999984615376</v>
      </c>
      <c r="N1216">
        <f>29.4769696923077*(0.3)</f>
        <v>8.8430909076923072</v>
      </c>
    </row>
    <row r="1217" spans="1:14" x14ac:dyDescent="0.25">
      <c r="A1217">
        <f>-9.266140981*(0.3)</f>
        <v>-2.7798422942999998</v>
      </c>
      <c r="B1217">
        <f>0.712780075461538*(0.3)</f>
        <v>0.21383402263846152</v>
      </c>
      <c r="C1217">
        <f>2.13834022638462*(0.3)</f>
        <v>0.64150206791538456</v>
      </c>
      <c r="D1217">
        <f>0.712780075461538*(0.3)</f>
        <v>0.21383402263846152</v>
      </c>
      <c r="E1217">
        <f>0.712780075461538*(0.3)</f>
        <v>0.21383402263846152</v>
      </c>
      <c r="F1217">
        <f>0.712780075461538*(0.3)</f>
        <v>0.21383402263846152</v>
      </c>
      <c r="G1217">
        <f>0.427668045276923*(0.3)</f>
        <v>0.12830041358307689</v>
      </c>
      <c r="H1217">
        <f>0.712780075461538*(0.3)</f>
        <v>0.21383402263846152</v>
      </c>
      <c r="I1217">
        <f>0.712780075461538*(0.3)</f>
        <v>0.21383402263846152</v>
      </c>
      <c r="J1217">
        <f>-0.142556015092308*(0.3)</f>
        <v>-4.2766804527692291E-2</v>
      </c>
      <c r="K1217">
        <f>0.712780075461538*(0.3)</f>
        <v>0.21383402263846152</v>
      </c>
      <c r="L1217">
        <f>0.349262236976154*(0.3)</f>
        <v>0.10477867109284615</v>
      </c>
      <c r="M1217">
        <f>0.784058083007692*(0.3)</f>
        <v>0.23521742490230768</v>
      </c>
      <c r="N1217">
        <f>0.712780075461538*(0.3)</f>
        <v>0.21383402263846152</v>
      </c>
    </row>
    <row r="1218" spans="1:14" x14ac:dyDescent="0.25">
      <c r="A1218">
        <f>1.383139034*(0.3)</f>
        <v>0.41494171019999998</v>
      </c>
      <c r="B1218">
        <f>-0.106395310307692*(0.3)</f>
        <v>-3.1918593092307691E-2</v>
      </c>
      <c r="C1218">
        <f>-0.319185930923077*(0.3)</f>
        <v>-9.5755779276923067E-2</v>
      </c>
      <c r="D1218">
        <f>-0.106395310307692*(0.3)</f>
        <v>-3.1918593092307691E-2</v>
      </c>
      <c r="E1218">
        <f>-0.106395310307692*(0.3)</f>
        <v>-3.1918593092307691E-2</v>
      </c>
      <c r="F1218">
        <f>-0.106395310307692*(0.3)</f>
        <v>-3.1918593092307691E-2</v>
      </c>
      <c r="G1218">
        <f>-0.0638371861846154*(0.3)</f>
        <v>-1.9151155855384613E-2</v>
      </c>
      <c r="H1218">
        <f>-0.106395310307692*(0.3)</f>
        <v>-3.1918593092307691E-2</v>
      </c>
      <c r="I1218">
        <f>-0.106395310307692*(0.3)</f>
        <v>-3.1918593092307691E-2</v>
      </c>
      <c r="J1218">
        <f>0.0212790620615385*(0.3)</f>
        <v>6.3837186184615364E-3</v>
      </c>
      <c r="K1218">
        <f>-0.106395310307692*(0.3)</f>
        <v>-3.1918593092307691E-2</v>
      </c>
      <c r="L1218">
        <f>-0.0521337020507692*(0.3)</f>
        <v>-1.5640110615230768E-2</v>
      </c>
      <c r="M1218">
        <f>-0.117034841338462*(0.3)</f>
        <v>-3.5110452401538463E-2</v>
      </c>
      <c r="N1218">
        <f>-0.106395310307692*(0.3)</f>
        <v>-3.1918593092307691E-2</v>
      </c>
    </row>
    <row r="1219" spans="1:14" x14ac:dyDescent="0.25">
      <c r="A1219">
        <f>-12.06461057*(0.3)</f>
        <v>-3.6193831709999995</v>
      </c>
      <c r="B1219">
        <f>0.928046966923077*(0.3)</f>
        <v>0.27841409007692303</v>
      </c>
      <c r="C1219">
        <f>2.78414090076923*(0.3)</f>
        <v>0.83524227023076913</v>
      </c>
      <c r="D1219">
        <f>0.928046966923077*(0.3)</f>
        <v>0.27841409007692303</v>
      </c>
      <c r="E1219">
        <f>0.928046966923077*(0.3)</f>
        <v>0.27841409007692303</v>
      </c>
      <c r="F1219">
        <f>0.928046966923077*(0.3)</f>
        <v>0.27841409007692303</v>
      </c>
      <c r="G1219">
        <f>0.556828180153846*(0.3)</f>
        <v>0.16704845404615382</v>
      </c>
      <c r="H1219">
        <f>0.928046966923077*(0.3)</f>
        <v>0.27841409007692303</v>
      </c>
      <c r="I1219">
        <f>0.928046966923077*(0.3)</f>
        <v>0.27841409007692303</v>
      </c>
      <c r="J1219">
        <f>-0.185609393384615*(0.3)</f>
        <v>-5.5682818015384598E-2</v>
      </c>
      <c r="K1219">
        <f>0.928046966923077*(0.3)</f>
        <v>0.27841409007692303</v>
      </c>
      <c r="L1219">
        <f>0.454743013792308*(0.3)</f>
        <v>0.13642290413769229</v>
      </c>
      <c r="M1219">
        <f>1.02085166361538*(0.3)</f>
        <v>0.30625549908461536</v>
      </c>
      <c r="N1219">
        <f>0.928046966923077*(0.3)</f>
        <v>0.27841409007692303</v>
      </c>
    </row>
    <row r="1220" spans="1:14" x14ac:dyDescent="0.25">
      <c r="A1220">
        <f>1.760385624*(0.3)</f>
        <v>0.52811568720000002</v>
      </c>
      <c r="B1220">
        <f>-0.135414278769231*(0.3)</f>
        <v>-4.0624283630769226E-2</v>
      </c>
      <c r="C1220">
        <f>-0.406242836307692*(0.3)</f>
        <v>-0.12187285089230769</v>
      </c>
      <c r="D1220">
        <f>-0.135414278769231*(0.3)</f>
        <v>-4.0624283630769226E-2</v>
      </c>
      <c r="E1220">
        <f>-0.135414278769231*(0.3)</f>
        <v>-4.0624283630769226E-2</v>
      </c>
      <c r="F1220">
        <f>-0.135414278769231*(0.3)</f>
        <v>-4.0624283630769226E-2</v>
      </c>
      <c r="G1220">
        <f>-0.0812485672615385*(0.3)</f>
        <v>-2.4374570178461535E-2</v>
      </c>
      <c r="H1220">
        <f>-0.135414278769231*(0.3)</f>
        <v>-4.0624283630769226E-2</v>
      </c>
      <c r="I1220">
        <f>-0.135414278769231*(0.3)</f>
        <v>-4.0624283630769226E-2</v>
      </c>
      <c r="J1220">
        <f>0.0270828557538461*(0.3)</f>
        <v>8.1248567261538434E-3</v>
      </c>
      <c r="K1220">
        <f>-0.135414278769231*(0.3)</f>
        <v>-4.0624283630769226E-2</v>
      </c>
      <c r="L1220">
        <f>-0.0663529965969231*(0.3)</f>
        <v>-1.9905898979076922E-2</v>
      </c>
      <c r="M1220">
        <f>-0.148955706646154*(0.3)</f>
        <v>-4.4686711993846155E-2</v>
      </c>
      <c r="N1220">
        <f>-0.135414278769231*(0.3)</f>
        <v>-4.0624283630769226E-2</v>
      </c>
    </row>
    <row r="1221" spans="1:14" x14ac:dyDescent="0.25">
      <c r="A1221">
        <f>-10.07649554*(0.3)</f>
        <v>-3.0229486619999997</v>
      </c>
      <c r="B1221">
        <f>0.775115041538462*(0.3)</f>
        <v>0.23253451246153845</v>
      </c>
      <c r="C1221">
        <f>2.32534512461538*(0.3)</f>
        <v>0.69760353738461534</v>
      </c>
      <c r="D1221">
        <f>0.775115041538462*(0.3)</f>
        <v>0.23253451246153845</v>
      </c>
      <c r="E1221">
        <f>0.775115041538462*(0.3)</f>
        <v>0.23253451246153845</v>
      </c>
      <c r="F1221">
        <f>0.775115041538462*(0.3)</f>
        <v>0.23253451246153845</v>
      </c>
      <c r="G1221">
        <f>0.465069024923077*(0.3)</f>
        <v>0.13952070747692305</v>
      </c>
      <c r="H1221">
        <f>0.775115041538462*(0.3)</f>
        <v>0.23253451246153845</v>
      </c>
      <c r="I1221">
        <f>0.775115041538462*(0.3)</f>
        <v>0.23253451246153845</v>
      </c>
      <c r="J1221">
        <f>-0.155023008307692*(0.3)</f>
        <v>-4.6506902492307683E-2</v>
      </c>
      <c r="K1221">
        <f>0.775115041538462*(0.3)</f>
        <v>0.23253451246153845</v>
      </c>
      <c r="L1221">
        <f>0.379806370353846*(0.3)</f>
        <v>0.11394191110615384</v>
      </c>
      <c r="M1221">
        <f>0.852626545692308*(0.3)</f>
        <v>0.2557879637076923</v>
      </c>
      <c r="N1221">
        <f>0.775115041538462*(0.3)</f>
        <v>0.23253451246153845</v>
      </c>
    </row>
    <row r="1222" spans="1:14" x14ac:dyDescent="0.25">
      <c r="A1222">
        <f>-2.050479514*(0.3)</f>
        <v>-0.61514385419999995</v>
      </c>
      <c r="B1222">
        <f>0.157729193384615*(0.3)</f>
        <v>4.7318758015384613E-2</v>
      </c>
      <c r="C1222">
        <f>0.473187580153846*(0.3)</f>
        <v>0.14195627404615385</v>
      </c>
      <c r="D1222">
        <f>0.157729193384615*(0.3)</f>
        <v>4.7318758015384613E-2</v>
      </c>
      <c r="E1222">
        <f>0.157729193384615*(0.3)</f>
        <v>4.7318758015384613E-2</v>
      </c>
      <c r="F1222">
        <f>0.157729193384615*(0.3)</f>
        <v>4.7318758015384613E-2</v>
      </c>
      <c r="G1222">
        <f>0.0946375160307692*(0.3)</f>
        <v>2.8391254809230767E-2</v>
      </c>
      <c r="H1222">
        <f>0.157729193384615*(0.3)</f>
        <v>4.7318758015384613E-2</v>
      </c>
      <c r="I1222">
        <f>0.157729193384615*(0.3)</f>
        <v>4.7318758015384613E-2</v>
      </c>
      <c r="J1222">
        <f>-0.0315458386769231*(0.3)</f>
        <v>-9.4637516030769211E-3</v>
      </c>
      <c r="K1222">
        <f>0.157729193384615*(0.3)</f>
        <v>4.7318758015384613E-2</v>
      </c>
      <c r="L1222">
        <f>0.0772873047584615*(0.3)</f>
        <v>2.3186191427538458E-2</v>
      </c>
      <c r="M1222">
        <f>0.173502112723077*(0.3)</f>
        <v>5.2050633816923084E-2</v>
      </c>
      <c r="N1222">
        <f>0.157729193384615*(0.3)</f>
        <v>4.7318758015384613E-2</v>
      </c>
    </row>
    <row r="1223" spans="1:14" x14ac:dyDescent="0.25">
      <c r="A1223">
        <f>-15.33761218*(0.3)</f>
        <v>-4.6012836540000004</v>
      </c>
      <c r="B1223">
        <f>1.17981632153846*(0.3)</f>
        <v>0.35394489646153848</v>
      </c>
      <c r="C1223">
        <f>3.53944896461539*(0.3)</f>
        <v>1.0618346893846156</v>
      </c>
      <c r="D1223">
        <f>1.17981632153846*(0.3)</f>
        <v>0.35394489646153848</v>
      </c>
      <c r="E1223">
        <f>1.17981632153846*(0.3)</f>
        <v>0.35394489646153848</v>
      </c>
      <c r="F1223">
        <f>1.17981632153846*(0.3)</f>
        <v>0.35394489646153848</v>
      </c>
      <c r="G1223">
        <f>0.707889792923077*(0.3)</f>
        <v>0.2123669378769231</v>
      </c>
      <c r="H1223">
        <f>1.17981632153846*(0.3)</f>
        <v>0.35394489646153848</v>
      </c>
      <c r="I1223">
        <f>1.17981632153846*(0.3)</f>
        <v>0.35394489646153848</v>
      </c>
      <c r="J1223">
        <f>-0.235963264307692*(0.3)</f>
        <v>-7.078897929230768E-2</v>
      </c>
      <c r="K1223">
        <f>1.17981632153846*(0.3)</f>
        <v>0.35394489646153848</v>
      </c>
      <c r="L1223">
        <f>0.578109997553846*(0.3)</f>
        <v>0.17343299926615385</v>
      </c>
      <c r="M1223">
        <f>1.29779795369231*(0.3)</f>
        <v>0.38933938610769236</v>
      </c>
      <c r="N1223">
        <f>1.17981632153846*(0.3)</f>
        <v>0.35394489646153848</v>
      </c>
    </row>
    <row r="1224" spans="1:14" x14ac:dyDescent="0.25">
      <c r="A1224">
        <f>2.2818396*(0.3)</f>
        <v>0.68455188</v>
      </c>
      <c r="B1224">
        <f>-0.175526123076923*(0.3)</f>
        <v>-5.2657836923076927E-2</v>
      </c>
      <c r="C1224">
        <f>-0.526578369230769*(0.3)</f>
        <v>-0.15797351076923077</v>
      </c>
      <c r="D1224">
        <f>-0.175526123076923*(0.3)</f>
        <v>-5.2657836923076927E-2</v>
      </c>
      <c r="E1224">
        <f>-0.175526123076923*(0.3)</f>
        <v>-5.2657836923076927E-2</v>
      </c>
      <c r="F1224">
        <f>-0.175526123076923*(0.3)</f>
        <v>-5.2657836923076927E-2</v>
      </c>
      <c r="G1224">
        <f>-0.105315673846154*(0.3)</f>
        <v>-3.1594702153846153E-2</v>
      </c>
      <c r="H1224">
        <f>-0.175526123076923*(0.3)</f>
        <v>-5.2657836923076927E-2</v>
      </c>
      <c r="I1224">
        <f>-0.175526123076923*(0.3)</f>
        <v>-5.2657836923076927E-2</v>
      </c>
      <c r="J1224">
        <f>0.0351052246153846*(0.3)</f>
        <v>1.0531567384615382E-2</v>
      </c>
      <c r="K1224">
        <f>-0.175526123076923*(0.3)</f>
        <v>-5.2657836923076927E-2</v>
      </c>
      <c r="L1224">
        <f>-0.0860078003076923*(0.3)</f>
        <v>-2.5802340092307693E-2</v>
      </c>
      <c r="M1224">
        <f>-0.193078735384615*(0.3)</f>
        <v>-5.7923620615384613E-2</v>
      </c>
      <c r="N1224">
        <f>-0.175526123076923*(0.3)</f>
        <v>-5.2657836923076927E-2</v>
      </c>
    </row>
    <row r="1225" spans="1:14" x14ac:dyDescent="0.25">
      <c r="A1225">
        <f>-18.45585759*(0.3)</f>
        <v>-5.5367572770000004</v>
      </c>
      <c r="B1225">
        <f>1.41968135307692*(0.3)</f>
        <v>0.42590440592307693</v>
      </c>
      <c r="C1225">
        <f>4.25904405923077*(0.3)</f>
        <v>1.277713217769231</v>
      </c>
      <c r="D1225">
        <f>1.41968135307692*(0.3)</f>
        <v>0.42590440592307693</v>
      </c>
      <c r="E1225">
        <f>1.41968135307692*(0.3)</f>
        <v>0.42590440592307693</v>
      </c>
      <c r="F1225">
        <f>1.41968135307692*(0.3)</f>
        <v>0.42590440592307693</v>
      </c>
      <c r="G1225">
        <f>0.851808811846154*(0.3)</f>
        <v>0.25554264355384615</v>
      </c>
      <c r="H1225">
        <f>1.41968135307692*(0.3)</f>
        <v>0.42590440592307693</v>
      </c>
      <c r="I1225">
        <f>1.41968135307692*(0.3)</f>
        <v>0.42590440592307693</v>
      </c>
      <c r="J1225">
        <f>-0.283936270615385*(0.3)</f>
        <v>-8.5180881184615365E-2</v>
      </c>
      <c r="K1225">
        <f>1.41968135307692*(0.3)</f>
        <v>0.42590440592307693</v>
      </c>
      <c r="L1225">
        <f>0.695643863007692*(0.3)</f>
        <v>0.20869315890230769</v>
      </c>
      <c r="M1225">
        <f>1.56164948838462*(0.3)</f>
        <v>0.4684948465153847</v>
      </c>
      <c r="N1225">
        <f>1.41968135307692*(0.3)</f>
        <v>0.42590440592307693</v>
      </c>
    </row>
    <row r="1226" spans="1:14" x14ac:dyDescent="0.25">
      <c r="A1226">
        <f>-0.427755046*(0.3)</f>
        <v>-0.12832651380000001</v>
      </c>
      <c r="B1226">
        <f>0.0329042343076923*(0.3)</f>
        <v>9.8712702923076916E-3</v>
      </c>
      <c r="C1226">
        <f>0.0987127029230769*(0.3)</f>
        <v>2.9613810876923073E-2</v>
      </c>
      <c r="D1226">
        <f>0.0329042343076923*(0.3)</f>
        <v>9.8712702923076916E-3</v>
      </c>
      <c r="E1226">
        <f>0.0329042343076923*(0.3)</f>
        <v>9.8712702923076916E-3</v>
      </c>
      <c r="F1226">
        <f>0.0329042343076923*(0.3)</f>
        <v>9.8712702923076916E-3</v>
      </c>
      <c r="G1226">
        <f>0.0197425405846154*(0.3)</f>
        <v>5.9227621753846146E-3</v>
      </c>
      <c r="H1226">
        <f>0.0329042343076923*(0.3)</f>
        <v>9.8712702923076916E-3</v>
      </c>
      <c r="I1226">
        <f>0.0329042343076923*(0.3)</f>
        <v>9.8712702923076916E-3</v>
      </c>
      <c r="J1226">
        <f>-0.00658084686153846*(0.3)</f>
        <v>-1.9742540584615381E-3</v>
      </c>
      <c r="K1226">
        <f>0.0329042343076923*(0.3)</f>
        <v>9.8712702923076916E-3</v>
      </c>
      <c r="L1226">
        <f>0.0161230748107692*(0.3)</f>
        <v>4.8369224432307694E-3</v>
      </c>
      <c r="M1226">
        <f>0.0361946577384615*(0.3)</f>
        <v>1.0858397321538461E-2</v>
      </c>
      <c r="N1226">
        <f>0.0329042343076923*(0.3)</f>
        <v>9.8712702923076916E-3</v>
      </c>
    </row>
    <row r="1227" spans="1:14" x14ac:dyDescent="0.25">
      <c r="A1227">
        <f>-22.83383302*(0.3)</f>
        <v>-6.8501499059999995</v>
      </c>
      <c r="B1227">
        <f>1.75644869384615*(0.3)</f>
        <v>0.52693460815384618</v>
      </c>
      <c r="C1227">
        <f>5.26934608153846*(0.3)</f>
        <v>1.5808038244615386</v>
      </c>
      <c r="D1227">
        <f>1.75644869384615*(0.3)</f>
        <v>0.52693460815384618</v>
      </c>
      <c r="E1227">
        <f>1.75644869384615*(0.3)</f>
        <v>0.52693460815384618</v>
      </c>
      <c r="F1227">
        <f>1.75644869384615*(0.3)</f>
        <v>0.52693460815384618</v>
      </c>
      <c r="G1227">
        <f>1.05386921630769*(0.3)</f>
        <v>0.31616076489230771</v>
      </c>
      <c r="H1227">
        <f>1.75644869384615*(0.3)</f>
        <v>0.52693460815384618</v>
      </c>
      <c r="I1227">
        <f>1.75644869384615*(0.3)</f>
        <v>0.52693460815384618</v>
      </c>
      <c r="J1227">
        <f>-0.351289738769231*(0.3)</f>
        <v>-0.10538692163076921</v>
      </c>
      <c r="K1227">
        <f>1.75644869384615*(0.3)</f>
        <v>0.52693460815384618</v>
      </c>
      <c r="L1227">
        <f>0.860659859984615*(0.3)</f>
        <v>0.25819795799538459</v>
      </c>
      <c r="M1227">
        <f>1.93209356323077*(0.3)</f>
        <v>0.5796280689692308</v>
      </c>
      <c r="N1227">
        <f>1.75644869384615*(0.3)</f>
        <v>0.52693460815384618</v>
      </c>
    </row>
    <row r="1228" spans="1:14" x14ac:dyDescent="0.25">
      <c r="A1228">
        <f>2.777141444*(0.3)</f>
        <v>0.83314243320000003</v>
      </c>
      <c r="B1228">
        <f>-0.213626264923077*(0.3)</f>
        <v>-6.4087879476923071E-2</v>
      </c>
      <c r="C1228">
        <f>-0.640878794769231*(0.3)</f>
        <v>-0.19226363843076924</v>
      </c>
      <c r="D1228">
        <f>-0.213626264923077*(0.3)</f>
        <v>-6.4087879476923071E-2</v>
      </c>
      <c r="E1228">
        <f>-0.213626264923077*(0.3)</f>
        <v>-6.4087879476923071E-2</v>
      </c>
      <c r="F1228">
        <f>-0.213626264923077*(0.3)</f>
        <v>-6.4087879476923071E-2</v>
      </c>
      <c r="G1228">
        <f>-0.128175758953846*(0.3)</f>
        <v>-3.8452727686153841E-2</v>
      </c>
      <c r="H1228">
        <f>-0.213626264923077*(0.3)</f>
        <v>-6.4087879476923071E-2</v>
      </c>
      <c r="I1228">
        <f>-0.213626264923077*(0.3)</f>
        <v>-6.4087879476923071E-2</v>
      </c>
      <c r="J1228">
        <f>0.0427252529846154*(0.3)</f>
        <v>1.2817575895384611E-2</v>
      </c>
      <c r="K1228">
        <f>-0.213626264923077*(0.3)</f>
        <v>-6.4087879476923071E-2</v>
      </c>
      <c r="L1228">
        <f>-0.104676869812308*(0.3)</f>
        <v>-3.1403060943692308E-2</v>
      </c>
      <c r="M1228">
        <f>-0.234988891415385*(0.3)</f>
        <v>-7.0496667424615397E-2</v>
      </c>
      <c r="N1228">
        <f>-0.213626264923077*(0.3)</f>
        <v>-6.4087879476923071E-2</v>
      </c>
    </row>
    <row r="1229" spans="1:14" x14ac:dyDescent="0.25">
      <c r="A1229">
        <f>-23.0894533*(0.3)</f>
        <v>-6.9268359899999998</v>
      </c>
      <c r="B1229">
        <f>1.77611179230769*(0.3)</f>
        <v>0.53283353769230757</v>
      </c>
      <c r="C1229">
        <f>5.32833537692308*(0.3)</f>
        <v>1.598500613076923</v>
      </c>
      <c r="D1229">
        <f>1.77611179230769*(0.3)</f>
        <v>0.53283353769230757</v>
      </c>
      <c r="E1229">
        <f>1.77611179230769*(0.3)</f>
        <v>0.53283353769230757</v>
      </c>
      <c r="F1229">
        <f>1.77611179230769*(0.3)</f>
        <v>0.53283353769230757</v>
      </c>
      <c r="G1229">
        <f>1.06566707538462*(0.3)</f>
        <v>0.31970012261538455</v>
      </c>
      <c r="H1229">
        <f>1.77611179230769*(0.3)</f>
        <v>0.53283353769230757</v>
      </c>
      <c r="I1229">
        <f>1.77611179230769*(0.3)</f>
        <v>0.53283353769230757</v>
      </c>
      <c r="J1229">
        <f>-0.355222358461538*(0.3)</f>
        <v>-0.10656670753846149</v>
      </c>
      <c r="K1229">
        <f>1.77611179230769*(0.3)</f>
        <v>0.53283353769230757</v>
      </c>
      <c r="L1229">
        <f>0.870294778230769*(0.3)</f>
        <v>0.26108843346923072</v>
      </c>
      <c r="M1229">
        <f>1.95372297153846*(0.3)</f>
        <v>0.58611689146153845</v>
      </c>
      <c r="N1229">
        <f>1.77611179230769*(0.3)</f>
        <v>0.53283353769230757</v>
      </c>
    </row>
    <row r="1230" spans="1:14" x14ac:dyDescent="0.25">
      <c r="A1230">
        <f>0.416719013*(0.3)</f>
        <v>0.1250157039</v>
      </c>
      <c r="B1230">
        <f>-0.0320553086923077*(0.3)</f>
        <v>-9.6165926076923081E-3</v>
      </c>
      <c r="C1230">
        <f>-0.0961659260769231*(0.3)</f>
        <v>-2.8849777823076926E-2</v>
      </c>
      <c r="D1230">
        <f>-0.0320553086923077*(0.3)</f>
        <v>-9.6165926076923081E-3</v>
      </c>
      <c r="E1230">
        <f>-0.0320553086923077*(0.3)</f>
        <v>-9.6165926076923081E-3</v>
      </c>
      <c r="F1230">
        <f>-0.0320553086923077*(0.3)</f>
        <v>-9.6165926076923081E-3</v>
      </c>
      <c r="G1230">
        <f>-0.0192331852153846*(0.3)</f>
        <v>-5.7699555646153851E-3</v>
      </c>
      <c r="H1230">
        <f>-0.0320553086923077*(0.3)</f>
        <v>-9.6165926076923081E-3</v>
      </c>
      <c r="I1230">
        <f>-0.0320553086923077*(0.3)</f>
        <v>-9.6165926076923081E-3</v>
      </c>
      <c r="J1230">
        <f>0.00641106173846154*(0.3)</f>
        <v>1.9233185215384611E-3</v>
      </c>
      <c r="K1230">
        <f>-0.0320553086923077*(0.3)</f>
        <v>-9.6165926076923081E-3</v>
      </c>
      <c r="L1230">
        <f>-0.0157071012592308*(0.3)</f>
        <v>-4.712130377769231E-3</v>
      </c>
      <c r="M1230">
        <f>-0.0352608395615385*(0.3)</f>
        <v>-1.0578251868461541E-2</v>
      </c>
      <c r="N1230">
        <f>-0.0320553086923077*(0.3)</f>
        <v>-9.6165926076923081E-3</v>
      </c>
    </row>
    <row r="1231" spans="1:14" x14ac:dyDescent="0.25">
      <c r="A1231">
        <f>-28.89029216*(0.3)</f>
        <v>-8.6670876480000008</v>
      </c>
      <c r="B1231">
        <f>2.22233016615385*(0.3)</f>
        <v>0.6666990498461538</v>
      </c>
      <c r="C1231">
        <f>6.66699049846154*(0.3)</f>
        <v>2.0000971495384614</v>
      </c>
      <c r="D1231">
        <f>2.22233016615385*(0.3)</f>
        <v>0.6666990498461538</v>
      </c>
      <c r="E1231">
        <f>2.22233016615385*(0.3)</f>
        <v>0.6666990498461538</v>
      </c>
      <c r="F1231">
        <f>2.22233016615385*(0.3)</f>
        <v>0.6666990498461538</v>
      </c>
      <c r="G1231">
        <f>1.33339809969231*(0.3)</f>
        <v>0.40001942990769229</v>
      </c>
      <c r="H1231">
        <f>2.22233016615385*(0.3)</f>
        <v>0.6666990498461538</v>
      </c>
      <c r="I1231">
        <f>2.22233016615385*(0.3)</f>
        <v>0.6666990498461538</v>
      </c>
      <c r="J1231">
        <f>-0.444466033230769*(0.3)</f>
        <v>-0.13333980996923073</v>
      </c>
      <c r="K1231">
        <f>2.22233016615385*(0.3)</f>
        <v>0.6666990498461538</v>
      </c>
      <c r="L1231">
        <f>1.08894178141538*(0.3)</f>
        <v>0.32668253442461537</v>
      </c>
      <c r="M1231">
        <f>2.44456318276923*(0.3)</f>
        <v>0.73336895483076925</v>
      </c>
      <c r="N1231">
        <f>2.22233016615385*(0.3)</f>
        <v>0.6666990498461538</v>
      </c>
    </row>
    <row r="1232" spans="1:14" x14ac:dyDescent="0.25">
      <c r="A1232">
        <f>0.282743747*(0.3)</f>
        <v>8.4823124099999994E-2</v>
      </c>
      <c r="B1232">
        <f>-0.021749519*(0.3)</f>
        <v>-6.5248556999999993E-3</v>
      </c>
      <c r="C1232">
        <f>-0.065248557*(0.3)</f>
        <v>-1.9574567099999999E-2</v>
      </c>
      <c r="D1232">
        <f>-0.021749519*(0.3)</f>
        <v>-6.5248556999999993E-3</v>
      </c>
      <c r="E1232">
        <f>-0.021749519*(0.3)</f>
        <v>-6.5248556999999993E-3</v>
      </c>
      <c r="F1232">
        <f>-0.021749519*(0.3)</f>
        <v>-6.5248556999999993E-3</v>
      </c>
      <c r="G1232">
        <f>-0.0130497114*(0.3)</f>
        <v>-3.9149134199999991E-3</v>
      </c>
      <c r="H1232">
        <f>-0.021749519*(0.3)</f>
        <v>-6.5248556999999993E-3</v>
      </c>
      <c r="I1232">
        <f>-0.021749519*(0.3)</f>
        <v>-6.5248556999999993E-3</v>
      </c>
      <c r="J1232">
        <f>0.0043499038*(0.3)</f>
        <v>1.3049711399999997E-3</v>
      </c>
      <c r="K1232">
        <f>-0.021749519*(0.3)</f>
        <v>-6.5248556999999993E-3</v>
      </c>
      <c r="L1232">
        <f>-0.01065726431*(0.3)</f>
        <v>-3.1971792929999998E-3</v>
      </c>
      <c r="M1232">
        <f>-0.0239244709*(0.3)</f>
        <v>-7.1773412700000001E-3</v>
      </c>
      <c r="N1232">
        <f>-0.021749519*(0.3)</f>
        <v>-6.5248556999999993E-3</v>
      </c>
    </row>
    <row r="1233" spans="1:14" x14ac:dyDescent="0.25">
      <c r="A1233">
        <f>-1.515456009*(0.3)</f>
        <v>-0.45463680269999995</v>
      </c>
      <c r="B1233">
        <f>0.116573539153846*(0.3)</f>
        <v>3.4972061746153846E-2</v>
      </c>
      <c r="C1233">
        <f>0.349720617461538*(0.3)</f>
        <v>0.10491618523846152</v>
      </c>
      <c r="D1233">
        <f>0.116573539153846*(0.3)</f>
        <v>3.4972061746153846E-2</v>
      </c>
      <c r="E1233">
        <f>0.116573539153846*(0.3)</f>
        <v>3.4972061746153846E-2</v>
      </c>
      <c r="F1233">
        <f>0.116573539153846*(0.3)</f>
        <v>3.4972061746153846E-2</v>
      </c>
      <c r="G1233">
        <f>0.0699441234923077*(0.3)</f>
        <v>2.0983237047692307E-2</v>
      </c>
      <c r="H1233">
        <f>0.116573539153846*(0.3)</f>
        <v>3.4972061746153846E-2</v>
      </c>
      <c r="I1233">
        <f>0.116573539153846*(0.3)</f>
        <v>3.4972061746153846E-2</v>
      </c>
      <c r="J1233">
        <f>-0.0233147078307692*(0.3)</f>
        <v>-6.9944123492307669E-3</v>
      </c>
      <c r="K1233">
        <f>0.116573539153846*(0.3)</f>
        <v>3.4972061746153846E-2</v>
      </c>
      <c r="L1233">
        <f>0.0571210341853846*(0.3)</f>
        <v>1.7136310255615381E-2</v>
      </c>
      <c r="M1233">
        <f>0.128230893069231*(0.3)</f>
        <v>3.8469267920769233E-2</v>
      </c>
      <c r="N1233">
        <f>0.116573539153846*(0.3)</f>
        <v>3.4972061746153846E-2</v>
      </c>
    </row>
    <row r="1234" spans="1:14" x14ac:dyDescent="0.25">
      <c r="A1234">
        <f>-3.657321051*(0.3)</f>
        <v>-1.0971963152999999</v>
      </c>
      <c r="B1234">
        <f>0.281332388538462*(0.3)</f>
        <v>8.4399716561538454E-2</v>
      </c>
      <c r="C1234">
        <f>0.843997165615385*(0.3)</f>
        <v>0.25319914968461538</v>
      </c>
      <c r="D1234">
        <f>0.281332388538462*(0.3)</f>
        <v>8.4399716561538454E-2</v>
      </c>
      <c r="E1234">
        <f>0.281332388538462*(0.3)</f>
        <v>8.4399716561538454E-2</v>
      </c>
      <c r="F1234">
        <f>0.281332388538462*(0.3)</f>
        <v>8.4399716561538454E-2</v>
      </c>
      <c r="G1234">
        <f>0.168799433123077*(0.3)</f>
        <v>5.0639829936923071E-2</v>
      </c>
      <c r="H1234">
        <f>0.281332388538462*(0.3)</f>
        <v>8.4399716561538454E-2</v>
      </c>
      <c r="I1234">
        <f>0.281332388538462*(0.3)</f>
        <v>8.4399716561538454E-2</v>
      </c>
      <c r="J1234">
        <f>-0.0562664777076923*(0.3)</f>
        <v>-1.6879943312307688E-2</v>
      </c>
      <c r="K1234">
        <f>0.281332388538462*(0.3)</f>
        <v>8.4399716561538454E-2</v>
      </c>
      <c r="L1234">
        <f>0.137852870383846*(0.3)</f>
        <v>4.1355861115153845E-2</v>
      </c>
      <c r="M1234">
        <f>0.309465627392308*(0.3)</f>
        <v>9.2839688217692312E-2</v>
      </c>
      <c r="N1234">
        <f>0.281332388538462*(0.3)</f>
        <v>8.4399716561538454E-2</v>
      </c>
    </row>
    <row r="1235" spans="1:14" x14ac:dyDescent="0.25">
      <c r="A1235">
        <f>0.159377813*(0.3)</f>
        <v>4.7813343899999999E-2</v>
      </c>
      <c r="B1235">
        <f>-0.0122598317692308*(0.3)</f>
        <v>-3.6779495307692309E-3</v>
      </c>
      <c r="C1235">
        <f>-0.0367794953076923*(0.3)</f>
        <v>-1.1033848592307693E-2</v>
      </c>
      <c r="D1235">
        <f>-0.0122598317692308*(0.3)</f>
        <v>-3.6779495307692309E-3</v>
      </c>
      <c r="E1235">
        <f>-0.0122598317692308*(0.3)</f>
        <v>-3.6779495307692309E-3</v>
      </c>
      <c r="F1235">
        <f>-0.0122598317692308*(0.3)</f>
        <v>-3.6779495307692309E-3</v>
      </c>
      <c r="G1235">
        <f>-0.00735589906153846*(0.3)</f>
        <v>-2.2067697184615384E-3</v>
      </c>
      <c r="H1235">
        <f>-0.0122598317692308*(0.3)</f>
        <v>-3.6779495307692309E-3</v>
      </c>
      <c r="I1235">
        <f>-0.0122598317692308*(0.3)</f>
        <v>-3.6779495307692309E-3</v>
      </c>
      <c r="J1235">
        <f>0.00245196635384615*(0.3)</f>
        <v>7.3558990615384611E-4</v>
      </c>
      <c r="K1235">
        <f>-0.0122598317692308*(0.3)</f>
        <v>-3.6779495307692309E-3</v>
      </c>
      <c r="L1235">
        <f>-0.00600731756692308*(0.3)</f>
        <v>-1.802195270076923E-3</v>
      </c>
      <c r="M1235">
        <f>-0.0134858149461538*(0.3)</f>
        <v>-4.0457444838461545E-3</v>
      </c>
      <c r="N1235">
        <f>-0.0122598317692308*(0.3)</f>
        <v>-3.6779495307692309E-3</v>
      </c>
    </row>
    <row r="1236" spans="1:14" x14ac:dyDescent="0.25">
      <c r="A1236">
        <f>0.413247474*(0.3)</f>
        <v>0.1239742422</v>
      </c>
      <c r="B1236">
        <f>-0.0317882672307692*(0.3)</f>
        <v>-9.53648016923077E-3</v>
      </c>
      <c r="C1236">
        <f>-0.0953648016923077*(0.3)</f>
        <v>-2.8609440507692308E-2</v>
      </c>
      <c r="D1236">
        <f>-0.0317882672307692*(0.3)</f>
        <v>-9.53648016923077E-3</v>
      </c>
      <c r="E1236">
        <f>-0.0317882672307692*(0.3)</f>
        <v>-9.53648016923077E-3</v>
      </c>
      <c r="F1236">
        <f>-0.0317882672307692*(0.3)</f>
        <v>-9.53648016923077E-3</v>
      </c>
      <c r="G1236">
        <f>-0.0190729603384615*(0.3)</f>
        <v>-5.7218881015384622E-3</v>
      </c>
      <c r="H1236">
        <f>-0.0317882672307692*(0.3)</f>
        <v>-9.53648016923077E-3</v>
      </c>
      <c r="I1236">
        <f>-0.0317882672307692*(0.3)</f>
        <v>-9.53648016923077E-3</v>
      </c>
      <c r="J1236">
        <f>0.00635765344615385*(0.3)</f>
        <v>1.9072960338461535E-3</v>
      </c>
      <c r="K1236">
        <f>-0.0317882672307692*(0.3)</f>
        <v>-9.53648016923077E-3</v>
      </c>
      <c r="L1236">
        <f>-0.0155762509430769*(0.3)</f>
        <v>-4.6728752829230773E-3</v>
      </c>
      <c r="M1236">
        <f>-0.0349670939538462*(0.3)</f>
        <v>-1.0490128186153847E-2</v>
      </c>
      <c r="N1236">
        <f>-0.0317882672307692*(0.3)</f>
        <v>-9.53648016923077E-3</v>
      </c>
    </row>
    <row r="1237" spans="1:14" x14ac:dyDescent="0.25">
      <c r="A1237">
        <f>0.45255264*(0.3)</f>
        <v>0.135765792</v>
      </c>
      <c r="B1237">
        <f>-0.0348117415384615*(0.3)</f>
        <v>-1.0443522461538462E-2</v>
      </c>
      <c r="C1237">
        <f>-0.104435224615385*(0.3)</f>
        <v>-3.1330567384615385E-2</v>
      </c>
      <c r="D1237">
        <f>-0.0348117415384615*(0.3)</f>
        <v>-1.0443522461538462E-2</v>
      </c>
      <c r="E1237">
        <f>-0.0348117415384615*(0.3)</f>
        <v>-1.0443522461538462E-2</v>
      </c>
      <c r="F1237">
        <f>-0.0348117415384615*(0.3)</f>
        <v>-1.0443522461538462E-2</v>
      </c>
      <c r="G1237">
        <f>-0.0208870449230769*(0.3)</f>
        <v>-6.2661134769230768E-3</v>
      </c>
      <c r="H1237">
        <f>-0.0348117415384615*(0.3)</f>
        <v>-1.0443522461538462E-2</v>
      </c>
      <c r="I1237">
        <f>-0.0348117415384615*(0.3)</f>
        <v>-1.0443522461538462E-2</v>
      </c>
      <c r="J1237">
        <f>0.00696234830769231*(0.3)</f>
        <v>2.0887044923076918E-3</v>
      </c>
      <c r="K1237">
        <f>-0.0348117415384615*(0.3)</f>
        <v>-1.0443522461538462E-2</v>
      </c>
      <c r="L1237">
        <f>-0.0170577533538462*(0.3)</f>
        <v>-5.1173260061538467E-3</v>
      </c>
      <c r="M1237">
        <f>-0.0382929156923077*(0.3)</f>
        <v>-1.1487874707692308E-2</v>
      </c>
      <c r="N1237">
        <f>-0.0348117415384615*(0.3)</f>
        <v>-1.0443522461538462E-2</v>
      </c>
    </row>
    <row r="1238" spans="1:14" x14ac:dyDescent="0.25">
      <c r="A1238">
        <f>1.077657985*(0.3)</f>
        <v>0.32329739550000003</v>
      </c>
      <c r="B1238">
        <f>-0.0828967680769231*(0.3)</f>
        <v>-2.4869030423076924E-2</v>
      </c>
      <c r="C1238">
        <f>-0.248690304230769*(0.3)</f>
        <v>-7.4607091269230777E-2</v>
      </c>
      <c r="D1238">
        <f>-0.0828967680769231*(0.3)</f>
        <v>-2.4869030423076924E-2</v>
      </c>
      <c r="E1238">
        <f>-0.0828967680769231*(0.3)</f>
        <v>-2.4869030423076924E-2</v>
      </c>
      <c r="F1238">
        <f>-0.0828967680769231*(0.3)</f>
        <v>-2.4869030423076924E-2</v>
      </c>
      <c r="G1238">
        <f>-0.0497380608461538*(0.3)</f>
        <v>-1.4921418253846155E-2</v>
      </c>
      <c r="H1238">
        <f>-0.0828967680769231*(0.3)</f>
        <v>-2.4869030423076924E-2</v>
      </c>
      <c r="I1238">
        <f>-0.0828967680769231*(0.3)</f>
        <v>-2.4869030423076924E-2</v>
      </c>
      <c r="J1238">
        <f>0.0165793536153846*(0.3)</f>
        <v>4.973806084615384E-3</v>
      </c>
      <c r="K1238">
        <f>-0.0828967680769231*(0.3)</f>
        <v>-2.4869030423076924E-2</v>
      </c>
      <c r="L1238">
        <f>-0.0406194163576923*(0.3)</f>
        <v>-1.2185824907307694E-2</v>
      </c>
      <c r="M1238">
        <f>-0.0911864448846154*(0.3)</f>
        <v>-2.7355933465384619E-2</v>
      </c>
      <c r="N1238">
        <f>-0.0828967680769231*(0.3)</f>
        <v>-2.4869030423076924E-2</v>
      </c>
    </row>
    <row r="1239" spans="1:14" x14ac:dyDescent="0.25">
      <c r="A1239">
        <f>0.238432038*(0.3)</f>
        <v>7.1529611399999998E-2</v>
      </c>
      <c r="B1239">
        <f>-0.018340926*(0.3)</f>
        <v>-5.5022778000000001E-3</v>
      </c>
      <c r="C1239">
        <f>-0.055022778*(0.3)</f>
        <v>-1.65068334E-2</v>
      </c>
      <c r="D1239">
        <f>-0.018340926*(0.3)</f>
        <v>-5.5022778000000001E-3</v>
      </c>
      <c r="E1239">
        <f>-0.018340926*(0.3)</f>
        <v>-5.5022778000000001E-3</v>
      </c>
      <c r="F1239">
        <f>-0.018340926*(0.3)</f>
        <v>-5.5022778000000001E-3</v>
      </c>
      <c r="G1239">
        <f>-0.0110045556*(0.3)</f>
        <v>-3.3013666799999999E-3</v>
      </c>
      <c r="H1239">
        <f>-0.018340926*(0.3)</f>
        <v>-5.5022778000000001E-3</v>
      </c>
      <c r="I1239">
        <f>-0.018340926*(0.3)</f>
        <v>-5.5022778000000001E-3</v>
      </c>
      <c r="J1239">
        <f>0.0036681852*(0.3)</f>
        <v>1.1004555599999997E-3</v>
      </c>
      <c r="K1239">
        <f>-0.018340926*(0.3)</f>
        <v>-5.5022778000000001E-3</v>
      </c>
      <c r="L1239">
        <f>-0.00898705374*(0.3)</f>
        <v>-2.6961161220000001E-3</v>
      </c>
      <c r="M1239">
        <f>-0.0201750186*(0.3)</f>
        <v>-6.05250558E-3</v>
      </c>
      <c r="N1239">
        <f>-0.018340926*(0.3)</f>
        <v>-5.5022778000000001E-3</v>
      </c>
    </row>
    <row r="1240" spans="1:14" x14ac:dyDescent="0.25">
      <c r="A1240">
        <f>-0.622826489*(0.3)</f>
        <v>-0.18684794670000002</v>
      </c>
      <c r="B1240">
        <f>0.0479097299230769*(0.3)</f>
        <v>1.4372918976923077E-2</v>
      </c>
      <c r="C1240">
        <f>0.143729189769231*(0.3)</f>
        <v>4.3118756930769227E-2</v>
      </c>
      <c r="D1240">
        <f>0.0479097299230769*(0.3)</f>
        <v>1.4372918976923077E-2</v>
      </c>
      <c r="E1240">
        <f>0.0479097299230769*(0.3)</f>
        <v>1.4372918976923077E-2</v>
      </c>
      <c r="F1240">
        <f>0.0479097299230769*(0.3)</f>
        <v>1.4372918976923077E-2</v>
      </c>
      <c r="G1240">
        <f>0.0287458379538462*(0.3)</f>
        <v>8.6237513861538457E-3</v>
      </c>
      <c r="H1240">
        <f>0.0479097299230769*(0.3)</f>
        <v>1.4372918976923077E-2</v>
      </c>
      <c r="I1240">
        <f>0.0479097299230769*(0.3)</f>
        <v>1.4372918976923077E-2</v>
      </c>
      <c r="J1240">
        <f>-0.00958194598461538*(0.3)</f>
        <v>-2.8745837953846149E-3</v>
      </c>
      <c r="K1240">
        <f>0.0479097299230769*(0.3)</f>
        <v>1.4372918976923077E-2</v>
      </c>
      <c r="L1240">
        <f>0.0234757676623077*(0.3)</f>
        <v>7.0427302986923075E-3</v>
      </c>
      <c r="M1240">
        <f>0.0527007029153846*(0.3)</f>
        <v>1.5810210874615385E-2</v>
      </c>
      <c r="N1240">
        <f>0.0479097299230769*(0.3)</f>
        <v>1.4372918976923077E-2</v>
      </c>
    </row>
    <row r="1241" spans="1:14" x14ac:dyDescent="0.25">
      <c r="A1241">
        <f>2.372718778*(0.3)</f>
        <v>0.71181563339999998</v>
      </c>
      <c r="B1241">
        <f>-0.182516829076923*(0.3)</f>
        <v>-5.4755048723076918E-2</v>
      </c>
      <c r="C1241">
        <f>-0.547550487230769*(0.3)</f>
        <v>-0.16426514616923077</v>
      </c>
      <c r="D1241">
        <f>-0.182516829076923*(0.3)</f>
        <v>-5.4755048723076918E-2</v>
      </c>
      <c r="E1241">
        <f>-0.182516829076923*(0.3)</f>
        <v>-5.4755048723076918E-2</v>
      </c>
      <c r="F1241">
        <f>-0.182516829076923*(0.3)</f>
        <v>-5.4755048723076918E-2</v>
      </c>
      <c r="G1241">
        <f>-0.109510097446154*(0.3)</f>
        <v>-3.285302923384615E-2</v>
      </c>
      <c r="H1241">
        <f>-0.182516829076923*(0.3)</f>
        <v>-5.4755048723076918E-2</v>
      </c>
      <c r="I1241">
        <f>-0.182516829076923*(0.3)</f>
        <v>-5.4755048723076918E-2</v>
      </c>
      <c r="J1241">
        <f>0.0365033658153846*(0.3)</f>
        <v>1.0951009744615381E-2</v>
      </c>
      <c r="K1241">
        <f>-0.182516829076923*(0.3)</f>
        <v>-5.4755048723076918E-2</v>
      </c>
      <c r="L1241">
        <f>-0.0894332462476923*(0.3)</f>
        <v>-2.6829973874307692E-2</v>
      </c>
      <c r="M1241">
        <f>-0.200768511984615*(0.3)</f>
        <v>-6.0230553595384616E-2</v>
      </c>
      <c r="N1241">
        <f>-0.182516829076923*(0.3)</f>
        <v>-5.4755048723076918E-2</v>
      </c>
    </row>
    <row r="1242" spans="1:14" x14ac:dyDescent="0.25">
      <c r="A1242">
        <f>-0.119512554*(0.3)</f>
        <v>-3.5853766199999998E-2</v>
      </c>
      <c r="B1242">
        <f>0.00919327338461538*(0.3)</f>
        <v>2.7579820153846154E-3</v>
      </c>
      <c r="C1242">
        <f>0.0275798201538462*(0.3)</f>
        <v>8.2739460461538471E-3</v>
      </c>
      <c r="D1242">
        <f>0.00919327338461538*(0.3)</f>
        <v>2.7579820153846154E-3</v>
      </c>
      <c r="E1242">
        <f>0.00919327338461538*(0.3)</f>
        <v>2.7579820153846154E-3</v>
      </c>
      <c r="F1242">
        <f>0.00919327338461538*(0.3)</f>
        <v>2.7579820153846154E-3</v>
      </c>
      <c r="G1242">
        <f>0.00551596403076923*(0.3)</f>
        <v>1.6547892092307693E-3</v>
      </c>
      <c r="H1242">
        <f>0.00919327338461538*(0.3)</f>
        <v>2.7579820153846154E-3</v>
      </c>
      <c r="I1242">
        <f>0.00919327338461538*(0.3)</f>
        <v>2.7579820153846154E-3</v>
      </c>
      <c r="J1242">
        <f>-0.00183865467692308*(0.3)</f>
        <v>-5.5159640307692298E-4</v>
      </c>
      <c r="K1242">
        <f>0.00919327338461538*(0.3)</f>
        <v>2.7579820153846154E-3</v>
      </c>
      <c r="L1242">
        <f>0.00450470395846154*(0.3)</f>
        <v>1.3514111875384614E-3</v>
      </c>
      <c r="M1242">
        <f>0.0101126007230769*(0.3)</f>
        <v>3.033780216923077E-3</v>
      </c>
      <c r="N1242">
        <f>0.00919327338461538*(0.3)</f>
        <v>2.7579820153846154E-3</v>
      </c>
    </row>
    <row r="1243" spans="1:14" x14ac:dyDescent="0.25">
      <c r="A1243">
        <f>1.057096124*(0.3)</f>
        <v>0.31712883720000001</v>
      </c>
      <c r="B1243">
        <f>-0.0813150864615385*(0.3)</f>
        <v>-2.4394525938461541E-2</v>
      </c>
      <c r="C1243">
        <f>-0.243945259384615*(0.3)</f>
        <v>-7.3183577815384621E-2</v>
      </c>
      <c r="D1243">
        <f>-0.0813150864615385*(0.3)</f>
        <v>-2.4394525938461541E-2</v>
      </c>
      <c r="E1243">
        <f>-0.0813150864615385*(0.3)</f>
        <v>-2.4394525938461541E-2</v>
      </c>
      <c r="F1243">
        <f>-0.0813150864615385*(0.3)</f>
        <v>-2.4394525938461541E-2</v>
      </c>
      <c r="G1243">
        <f>-0.0487890518769231*(0.3)</f>
        <v>-1.4636715563076923E-2</v>
      </c>
      <c r="H1243">
        <f>-0.0813150864615385*(0.3)</f>
        <v>-2.4394525938461541E-2</v>
      </c>
      <c r="I1243">
        <f>-0.0813150864615385*(0.3)</f>
        <v>-2.4394525938461541E-2</v>
      </c>
      <c r="J1243">
        <f>0.0162630172923077*(0.3)</f>
        <v>4.8789051876923064E-3</v>
      </c>
      <c r="K1243">
        <f>-0.0813150864615385*(0.3)</f>
        <v>-2.4394525938461541E-2</v>
      </c>
      <c r="L1243">
        <f>-0.0398443923661538*(0.3)</f>
        <v>-1.1953317709846154E-2</v>
      </c>
      <c r="M1243">
        <f>-0.0894465951076923*(0.3)</f>
        <v>-2.6833978532307696E-2</v>
      </c>
      <c r="N1243">
        <f>-0.0813150864615385*(0.3)</f>
        <v>-2.4394525938461541E-2</v>
      </c>
    </row>
    <row r="1244" spans="1:14" x14ac:dyDescent="0.25">
      <c r="A1244">
        <f>-0.325511411*(0.3)</f>
        <v>-9.7653423299999986E-2</v>
      </c>
      <c r="B1244">
        <f>0.0250393393076923*(0.3)</f>
        <v>7.5118017923076919E-3</v>
      </c>
      <c r="C1244">
        <f>0.0751180179230769*(0.3)</f>
        <v>2.2535405376923074E-2</v>
      </c>
      <c r="D1244">
        <f>0.0250393393076923*(0.3)</f>
        <v>7.5118017923076919E-3</v>
      </c>
      <c r="E1244">
        <f>0.0250393393076923*(0.3)</f>
        <v>7.5118017923076919E-3</v>
      </c>
      <c r="F1244">
        <f>0.0250393393076923*(0.3)</f>
        <v>7.5118017923076919E-3</v>
      </c>
      <c r="G1244">
        <f>0.0150236035846154*(0.3)</f>
        <v>4.5070810753846148E-3</v>
      </c>
      <c r="H1244">
        <f>0.0250393393076923*(0.3)</f>
        <v>7.5118017923076919E-3</v>
      </c>
      <c r="I1244">
        <f>0.0250393393076923*(0.3)</f>
        <v>7.5118017923076919E-3</v>
      </c>
      <c r="J1244">
        <f>-0.00500786786153846*(0.3)</f>
        <v>-1.5023603584615381E-3</v>
      </c>
      <c r="K1244">
        <f>0.0250393393076923*(0.3)</f>
        <v>7.5118017923076919E-3</v>
      </c>
      <c r="L1244">
        <f>0.0122692762607692*(0.3)</f>
        <v>3.680782878230769E-3</v>
      </c>
      <c r="M1244">
        <f>0.0275432732384615*(0.3)</f>
        <v>8.2629819715384616E-3</v>
      </c>
      <c r="N1244">
        <f>0.0250393393076923*(0.3)</f>
        <v>7.5118017923076919E-3</v>
      </c>
    </row>
    <row r="1245" spans="1:14" x14ac:dyDescent="0.25">
      <c r="A1245">
        <f>2.463683678*(0.3)</f>
        <v>0.73910510340000002</v>
      </c>
      <c r="B1245">
        <f>-0.189514129076923*(0.3)</f>
        <v>-5.6854238723076919E-2</v>
      </c>
      <c r="C1245">
        <f>-0.568542387230769*(0.3)</f>
        <v>-0.17056271616923077</v>
      </c>
      <c r="D1245">
        <f>-0.189514129076923*(0.3)</f>
        <v>-5.6854238723076919E-2</v>
      </c>
      <c r="E1245">
        <f>-0.189514129076923*(0.3)</f>
        <v>-5.6854238723076919E-2</v>
      </c>
      <c r="F1245">
        <f>-0.189514129076923*(0.3)</f>
        <v>-5.6854238723076919E-2</v>
      </c>
      <c r="G1245">
        <f>-0.113708477446154*(0.3)</f>
        <v>-3.4112543233846153E-2</v>
      </c>
      <c r="H1245">
        <f>-0.189514129076923*(0.3)</f>
        <v>-5.6854238723076919E-2</v>
      </c>
      <c r="I1245">
        <f>-0.189514129076923*(0.3)</f>
        <v>-5.6854238723076919E-2</v>
      </c>
      <c r="J1245">
        <f>0.0379028258153846*(0.3)</f>
        <v>1.1370847744615381E-2</v>
      </c>
      <c r="K1245">
        <f>-0.189514129076923*(0.3)</f>
        <v>-5.6854238723076919E-2</v>
      </c>
      <c r="L1245">
        <f>-0.0928619232476923*(0.3)</f>
        <v>-2.7858576974307693E-2</v>
      </c>
      <c r="M1245">
        <f>-0.208465541984615*(0.3)</f>
        <v>-6.2539662595384626E-2</v>
      </c>
      <c r="N1245">
        <f>-0.189514129076923*(0.3)</f>
        <v>-5.6854238723076919E-2</v>
      </c>
    </row>
    <row r="1246" spans="1:14" x14ac:dyDescent="0.25">
      <c r="A1246">
        <f>-1.072197832*(0.3)</f>
        <v>-0.32165934960000003</v>
      </c>
      <c r="B1246">
        <f>0.0824767563076923*(0.3)</f>
        <v>2.4743026892307694E-2</v>
      </c>
      <c r="C1246">
        <f>0.247430268923077*(0.3)</f>
        <v>7.422908067692309E-2</v>
      </c>
      <c r="D1246">
        <f>0.0824767563076923*(0.3)</f>
        <v>2.4743026892307694E-2</v>
      </c>
      <c r="E1246">
        <f>0.0824767563076923*(0.3)</f>
        <v>2.4743026892307694E-2</v>
      </c>
      <c r="F1246">
        <f>0.0824767563076923*(0.3)</f>
        <v>2.4743026892307694E-2</v>
      </c>
      <c r="G1246">
        <f>0.0494860537846154*(0.3)</f>
        <v>1.4845816135384616E-2</v>
      </c>
      <c r="H1246">
        <f>0.0824767563076923*(0.3)</f>
        <v>2.4743026892307694E-2</v>
      </c>
      <c r="I1246">
        <f>0.0824767563076923*(0.3)</f>
        <v>2.4743026892307694E-2</v>
      </c>
      <c r="J1246">
        <f>-0.0164953512615385*(0.3)</f>
        <v>-4.9486053784615373E-3</v>
      </c>
      <c r="K1246">
        <f>0.0824767563076923*(0.3)</f>
        <v>2.4743026892307694E-2</v>
      </c>
      <c r="L1246">
        <f>0.0404136105907692*(0.3)</f>
        <v>1.2124083177230771E-2</v>
      </c>
      <c r="M1246">
        <f>0.0907244319384616*(0.3)</f>
        <v>2.7217329581538465E-2</v>
      </c>
      <c r="N1246">
        <f>0.0824767563076923*(0.3)</f>
        <v>2.4743026892307694E-2</v>
      </c>
    </row>
    <row r="1247" spans="1:14" x14ac:dyDescent="0.25">
      <c r="A1247">
        <f>0.454244395*(0.3)</f>
        <v>0.13627331849999999</v>
      </c>
      <c r="B1247">
        <f>-0.0349418765384615*(0.3)</f>
        <v>-1.0482562961538463E-2</v>
      </c>
      <c r="C1247">
        <f>-0.104825629615385*(0.3)</f>
        <v>-3.1447688884615389E-2</v>
      </c>
      <c r="D1247">
        <f>-0.0349418765384615*(0.3)</f>
        <v>-1.0482562961538463E-2</v>
      </c>
      <c r="E1247">
        <f>-0.0349418765384615*(0.3)</f>
        <v>-1.0482562961538463E-2</v>
      </c>
      <c r="F1247">
        <f>-0.0349418765384615*(0.3)</f>
        <v>-1.0482562961538463E-2</v>
      </c>
      <c r="G1247">
        <f>-0.0209651259230769*(0.3)</f>
        <v>-6.2895377769230775E-3</v>
      </c>
      <c r="H1247">
        <f>-0.0349418765384615*(0.3)</f>
        <v>-1.0482562961538463E-2</v>
      </c>
      <c r="I1247">
        <f>-0.0349418765384615*(0.3)</f>
        <v>-1.0482562961538463E-2</v>
      </c>
      <c r="J1247">
        <f>0.00698837530769231*(0.3)</f>
        <v>2.0965125923076921E-3</v>
      </c>
      <c r="K1247">
        <f>-0.0349418765384615*(0.3)</f>
        <v>-1.0482562961538463E-2</v>
      </c>
      <c r="L1247">
        <f>-0.0171215195038462*(0.3)</f>
        <v>-5.136455851153846E-3</v>
      </c>
      <c r="M1247">
        <f>-0.0384360641923077*(0.3)</f>
        <v>-1.1530819257692311E-2</v>
      </c>
      <c r="N1247">
        <f>-0.0349418765384615*(0.3)</f>
        <v>-1.0482562961538463E-2</v>
      </c>
    </row>
    <row r="1248" spans="1:14" x14ac:dyDescent="0.25">
      <c r="A1248">
        <f>-0.218891718*(0.3)</f>
        <v>-6.5667515400000001E-2</v>
      </c>
      <c r="B1248">
        <f>0.0168378244615385*(0.3)</f>
        <v>5.0513473384615386E-3</v>
      </c>
      <c r="C1248">
        <f>0.0505134733846154*(0.3)</f>
        <v>1.5154042015384615E-2</v>
      </c>
      <c r="D1248">
        <f>0.0168378244615385*(0.3)</f>
        <v>5.0513473384615386E-3</v>
      </c>
      <c r="E1248">
        <f>0.0168378244615385*(0.3)</f>
        <v>5.0513473384615386E-3</v>
      </c>
      <c r="F1248">
        <f>0.0168378244615385*(0.3)</f>
        <v>5.0513473384615386E-3</v>
      </c>
      <c r="G1248">
        <f>0.0101026946769231*(0.3)</f>
        <v>3.0308084030769233E-3</v>
      </c>
      <c r="H1248">
        <f>0.0168378244615385*(0.3)</f>
        <v>5.0513473384615386E-3</v>
      </c>
      <c r="I1248">
        <f>0.0168378244615385*(0.3)</f>
        <v>5.0513473384615386E-3</v>
      </c>
      <c r="J1248">
        <f>-0.00336756489230769*(0.3)</f>
        <v>-1.0102694676923075E-3</v>
      </c>
      <c r="K1248">
        <f>0.0168378244615385*(0.3)</f>
        <v>5.0513473384615386E-3</v>
      </c>
      <c r="L1248">
        <f>0.00825053398615385*(0.3)</f>
        <v>2.4751601958461537E-3</v>
      </c>
      <c r="M1248">
        <f>0.0185216069076923*(0.3)</f>
        <v>5.5564820723076926E-3</v>
      </c>
      <c r="N1248">
        <f>0.0168378244615385*(0.3)</f>
        <v>5.0513473384615386E-3</v>
      </c>
    </row>
    <row r="1249" spans="1:14" x14ac:dyDescent="0.25">
      <c r="A1249">
        <f>-16.91649008*(0.3)</f>
        <v>-5.0749470239999992</v>
      </c>
      <c r="B1249">
        <f>1.30126846769231*(0.3)</f>
        <v>0.39038054030769226</v>
      </c>
      <c r="C1249">
        <f>3.90380540307692*(0.3)</f>
        <v>1.1711416209230769</v>
      </c>
      <c r="D1249">
        <f>1.30126846769231*(0.3)</f>
        <v>0.39038054030769226</v>
      </c>
      <c r="E1249">
        <f>1.30126846769231*(0.3)</f>
        <v>0.39038054030769226</v>
      </c>
      <c r="F1249">
        <f>1.30126846769231*(0.3)</f>
        <v>0.39038054030769226</v>
      </c>
      <c r="G1249">
        <f>0.780761080615385*(0.3)</f>
        <v>0.23422832418461534</v>
      </c>
      <c r="H1249">
        <f>1.30126846769231*(0.3)</f>
        <v>0.39038054030769226</v>
      </c>
      <c r="I1249">
        <f>1.30126846769231*(0.3)</f>
        <v>0.39038054030769226</v>
      </c>
      <c r="J1249">
        <f>-0.260253693538461*(0.3)</f>
        <v>-7.8076108061538432E-2</v>
      </c>
      <c r="K1249">
        <f>1.30126846769231*(0.3)</f>
        <v>0.39038054030769226</v>
      </c>
      <c r="L1249">
        <f>0.637621549169231*(0.3)</f>
        <v>0.19128646475076921</v>
      </c>
      <c r="M1249">
        <f>1.43139531446154*(0.3)</f>
        <v>0.42941859433846158</v>
      </c>
      <c r="N1249">
        <f>1.30126846769231*(0.3)</f>
        <v>0.39038054030769226</v>
      </c>
    </row>
    <row r="1250" spans="1:14" x14ac:dyDescent="0.25">
      <c r="A1250">
        <f>-0.880059543*(0.3)</f>
        <v>-0.26401786290000001</v>
      </c>
      <c r="B1250">
        <f>0.0676968879230769*(0.3)</f>
        <v>2.0309066376923073E-2</v>
      </c>
      <c r="C1250">
        <f>0.203090663769231*(0.3)</f>
        <v>6.0927199130769216E-2</v>
      </c>
      <c r="D1250">
        <f>0.0676968879230769*(0.3)</f>
        <v>2.0309066376923073E-2</v>
      </c>
      <c r="E1250">
        <f>0.0676968879230769*(0.3)</f>
        <v>2.0309066376923073E-2</v>
      </c>
      <c r="F1250">
        <f>0.0676968879230769*(0.3)</f>
        <v>2.0309066376923073E-2</v>
      </c>
      <c r="G1250">
        <f>0.0406181327538461*(0.3)</f>
        <v>1.2185439826153844E-2</v>
      </c>
      <c r="H1250">
        <f>0.0676968879230769*(0.3)</f>
        <v>2.0309066376923073E-2</v>
      </c>
      <c r="I1250">
        <f>0.0676968879230769*(0.3)</f>
        <v>2.0309066376923073E-2</v>
      </c>
      <c r="J1250">
        <f>-0.0135393775846154*(0.3)</f>
        <v>-4.0618132753846136E-3</v>
      </c>
      <c r="K1250">
        <f>0.0676968879230769*(0.3)</f>
        <v>2.0309066376923073E-2</v>
      </c>
      <c r="L1250">
        <f>0.0331714750823077*(0.3)</f>
        <v>9.9514425246923065E-3</v>
      </c>
      <c r="M1250">
        <f>0.0744665767153846*(0.3)</f>
        <v>2.2339973014615384E-2</v>
      </c>
      <c r="N1250">
        <f>0.0676968879230769*(0.3)</f>
        <v>2.0309066376923073E-2</v>
      </c>
    </row>
    <row r="1251" spans="1:14" x14ac:dyDescent="0.25">
      <c r="A1251">
        <f>-25.00484195*(0.3)</f>
        <v>-7.5014525849999991</v>
      </c>
      <c r="B1251">
        <f>1.92344938076923*(0.3)</f>
        <v>0.57703481423076919</v>
      </c>
      <c r="C1251">
        <f>5.77034814230769*(0.3)</f>
        <v>1.7311044426923077</v>
      </c>
      <c r="D1251">
        <f>1.92344938076923*(0.3)</f>
        <v>0.57703481423076919</v>
      </c>
      <c r="E1251">
        <f>1.92344938076923*(0.3)</f>
        <v>0.57703481423076919</v>
      </c>
      <c r="F1251">
        <f>1.92344938076923*(0.3)</f>
        <v>0.57703481423076919</v>
      </c>
      <c r="G1251">
        <f>1.15406962846154*(0.3)</f>
        <v>0.3462208885384615</v>
      </c>
      <c r="H1251">
        <f>1.92344938076923*(0.3)</f>
        <v>0.57703481423076919</v>
      </c>
      <c r="I1251">
        <f>1.92344938076923*(0.3)</f>
        <v>0.57703481423076919</v>
      </c>
      <c r="J1251">
        <f>-0.384689876153846*(0.3)</f>
        <v>-0.11540696284615382</v>
      </c>
      <c r="K1251">
        <f>1.92344938076923*(0.3)</f>
        <v>0.57703481423076919</v>
      </c>
      <c r="L1251">
        <f>0.942490196576923*(0.3)</f>
        <v>0.28274705897307689</v>
      </c>
      <c r="M1251">
        <f>2.11579431884615*(0.3)</f>
        <v>0.63473829565384621</v>
      </c>
      <c r="N1251">
        <f>1.92344938076923*(0.3)</f>
        <v>0.57703481423076919</v>
      </c>
    </row>
    <row r="1252" spans="1:14" x14ac:dyDescent="0.25">
      <c r="A1252">
        <f>-0.261611948*(0.3)</f>
        <v>-7.8483584399999987E-2</v>
      </c>
      <c r="B1252">
        <f>0.020123996*(0.3)</f>
        <v>6.0371987999999991E-3</v>
      </c>
      <c r="C1252">
        <f>0.060371988*(0.3)</f>
        <v>1.8111596399999999E-2</v>
      </c>
      <c r="D1252">
        <f>0.020123996*(0.3)</f>
        <v>6.0371987999999991E-3</v>
      </c>
      <c r="E1252">
        <f>0.020123996*(0.3)</f>
        <v>6.0371987999999991E-3</v>
      </c>
      <c r="F1252">
        <f>0.020123996*(0.3)</f>
        <v>6.0371987999999991E-3</v>
      </c>
      <c r="G1252">
        <f>0.0120743976*(0.3)</f>
        <v>3.6223192799999995E-3</v>
      </c>
      <c r="H1252">
        <f>0.020123996*(0.3)</f>
        <v>6.0371987999999991E-3</v>
      </c>
      <c r="I1252">
        <f>0.020123996*(0.3)</f>
        <v>6.0371987999999991E-3</v>
      </c>
      <c r="J1252">
        <f>-0.0040247992*(0.3)</f>
        <v>-1.2074397599999996E-3</v>
      </c>
      <c r="K1252">
        <f>0.020123996*(0.3)</f>
        <v>6.0371987999999991E-3</v>
      </c>
      <c r="L1252">
        <f>0.00986075804*(0.3)</f>
        <v>2.9582274119999996E-3</v>
      </c>
      <c r="M1252">
        <f>0.0221363956*(0.3)</f>
        <v>6.6409186799999999E-3</v>
      </c>
      <c r="N1252">
        <f>0.020123996*(0.3)</f>
        <v>6.0371987999999991E-3</v>
      </c>
    </row>
    <row r="1253" spans="1:14" x14ac:dyDescent="0.25">
      <c r="A1253">
        <f>-33.14446227*(0.3)</f>
        <v>-9.9433386809999984</v>
      </c>
      <c r="B1253">
        <f>2.54957402076923*(0.3)</f>
        <v>0.76487220623076912</v>
      </c>
      <c r="C1253">
        <f>7.64872206230769*(0.3)</f>
        <v>2.2946166186923076</v>
      </c>
      <c r="D1253">
        <f>2.54957402076923*(0.3)</f>
        <v>0.76487220623076912</v>
      </c>
      <c r="E1253">
        <f>2.54957402076923*(0.3)</f>
        <v>0.76487220623076912</v>
      </c>
      <c r="F1253">
        <f>2.54957402076923*(0.3)</f>
        <v>0.76487220623076912</v>
      </c>
      <c r="G1253">
        <f>1.52974441246154*(0.3)</f>
        <v>0.45892332373846145</v>
      </c>
      <c r="H1253">
        <f>2.54957402076923*(0.3)</f>
        <v>0.76487220623076912</v>
      </c>
      <c r="I1253">
        <f>2.54957402076923*(0.3)</f>
        <v>0.76487220623076912</v>
      </c>
      <c r="J1253">
        <f>-0.509914804153846*(0.3)</f>
        <v>-0.15297444124615381</v>
      </c>
      <c r="K1253">
        <f>2.54957402076923*(0.3)</f>
        <v>0.76487220623076912</v>
      </c>
      <c r="L1253">
        <f>1.24929127017692*(0.3)</f>
        <v>0.37478738105307691</v>
      </c>
      <c r="M1253">
        <f>2.80453142284615*(0.3)</f>
        <v>0.84135942685384613</v>
      </c>
      <c r="N1253">
        <f>2.54957402076923*(0.3)</f>
        <v>0.76487220623076912</v>
      </c>
    </row>
    <row r="1254" spans="1:14" x14ac:dyDescent="0.25">
      <c r="A1254">
        <f>1.953018929*(0.3)</f>
        <v>0.58590567869999999</v>
      </c>
      <c r="B1254">
        <f>-0.150232225307692*(0.3)</f>
        <v>-4.506966759230769E-2</v>
      </c>
      <c r="C1254">
        <f>-0.450696675923077*(0.3)</f>
        <v>-0.13520900277692308</v>
      </c>
      <c r="D1254">
        <f>-0.150232225307692*(0.3)</f>
        <v>-4.506966759230769E-2</v>
      </c>
      <c r="E1254">
        <f>-0.150232225307692*(0.3)</f>
        <v>-4.506966759230769E-2</v>
      </c>
      <c r="F1254">
        <f>-0.150232225307692*(0.3)</f>
        <v>-4.506966759230769E-2</v>
      </c>
      <c r="G1254">
        <f>-0.0901393351846154*(0.3)</f>
        <v>-2.7041800555384615E-2</v>
      </c>
      <c r="H1254">
        <f>-0.150232225307692*(0.3)</f>
        <v>-4.506966759230769E-2</v>
      </c>
      <c r="I1254">
        <f>-0.150232225307692*(0.3)</f>
        <v>-4.506966759230769E-2</v>
      </c>
      <c r="J1254">
        <f>0.0300464450615385*(0.3)</f>
        <v>9.0139335184615359E-3</v>
      </c>
      <c r="K1254">
        <f>-0.150232225307692*(0.3)</f>
        <v>-4.506966759230769E-2</v>
      </c>
      <c r="L1254">
        <f>-0.0736137904007692*(0.3)</f>
        <v>-2.208413712023077E-2</v>
      </c>
      <c r="M1254">
        <f>-0.165255447838462*(0.3)</f>
        <v>-4.9576634351538466E-2</v>
      </c>
      <c r="N1254">
        <f>-0.150232225307692*(0.3)</f>
        <v>-4.506966759230769E-2</v>
      </c>
    </row>
    <row r="1255" spans="1:14" x14ac:dyDescent="0.25">
      <c r="A1255">
        <f>-40.9341736*(0.3)</f>
        <v>-12.28025208</v>
      </c>
      <c r="B1255">
        <f>3.14878258461538*(0.3)</f>
        <v>0.94463477538461538</v>
      </c>
      <c r="C1255">
        <f>9.44634775384615*(0.3)</f>
        <v>2.8339043261538461</v>
      </c>
      <c r="D1255">
        <f>3.14878258461538*(0.3)</f>
        <v>0.94463477538461538</v>
      </c>
      <c r="E1255">
        <f>3.14878258461538*(0.3)</f>
        <v>0.94463477538461538</v>
      </c>
      <c r="F1255">
        <f>3.14878258461538*(0.3)</f>
        <v>0.94463477538461538</v>
      </c>
      <c r="G1255">
        <f>1.88926955076923*(0.3)</f>
        <v>0.5667808652307692</v>
      </c>
      <c r="H1255">
        <f>3.14878258461538*(0.3)</f>
        <v>0.94463477538461538</v>
      </c>
      <c r="I1255">
        <f>3.14878258461538*(0.3)</f>
        <v>0.94463477538461538</v>
      </c>
      <c r="J1255">
        <f>-0.629756516923077*(0.3)</f>
        <v>-0.18892695507692303</v>
      </c>
      <c r="K1255">
        <f>3.14878258461538*(0.3)</f>
        <v>0.94463477538461538</v>
      </c>
      <c r="L1255">
        <f>1.54290346646154*(0.3)</f>
        <v>0.46287103993846151</v>
      </c>
      <c r="M1255">
        <f>3.46366084307692*(0.3)</f>
        <v>1.039098252923077</v>
      </c>
      <c r="N1255">
        <f>3.14878258461538*(0.3)</f>
        <v>0.94463477538461538</v>
      </c>
    </row>
    <row r="1256" spans="1:14" x14ac:dyDescent="0.25">
      <c r="A1256">
        <f>-0.711847392*(0.3)</f>
        <v>-0.21355421760000001</v>
      </c>
      <c r="B1256">
        <f>0.0547574916923077*(0.3)</f>
        <v>1.6427247507692307E-2</v>
      </c>
      <c r="C1256">
        <f>0.164272475076923*(0.3)</f>
        <v>4.9281742523076925E-2</v>
      </c>
      <c r="D1256">
        <f>0.0547574916923077*(0.3)</f>
        <v>1.6427247507692307E-2</v>
      </c>
      <c r="E1256">
        <f>0.0547574916923077*(0.3)</f>
        <v>1.6427247507692307E-2</v>
      </c>
      <c r="F1256">
        <f>0.0547574916923077*(0.3)</f>
        <v>1.6427247507692307E-2</v>
      </c>
      <c r="G1256">
        <f>0.0328544950153846*(0.3)</f>
        <v>9.8563485046153834E-3</v>
      </c>
      <c r="H1256">
        <f>0.0547574916923077*(0.3)</f>
        <v>1.6427247507692307E-2</v>
      </c>
      <c r="I1256">
        <f>0.0547574916923077*(0.3)</f>
        <v>1.6427247507692307E-2</v>
      </c>
      <c r="J1256">
        <f>-0.0109514983384615*(0.3)</f>
        <v>-3.2854495015384611E-3</v>
      </c>
      <c r="K1256">
        <f>0.0547574916923077*(0.3)</f>
        <v>1.6427247507692307E-2</v>
      </c>
      <c r="L1256">
        <f>0.0268311709292308*(0.3)</f>
        <v>8.0493512787692314E-3</v>
      </c>
      <c r="M1256">
        <f>0.0602332408615385*(0.3)</f>
        <v>1.806997225846154E-2</v>
      </c>
      <c r="N1256">
        <f>0.0547574916923077*(0.3)</f>
        <v>1.6427247507692307E-2</v>
      </c>
    </row>
    <row r="1257" spans="1:14" x14ac:dyDescent="0.25">
      <c r="A1257">
        <f>-51.86327667*(0.3)</f>
        <v>-15.558983000999998</v>
      </c>
      <c r="B1257">
        <f>3.98948282076923*(0.3)</f>
        <v>1.196844846230769</v>
      </c>
      <c r="C1257">
        <f>11.9684484623077*(0.3)</f>
        <v>3.5905345386923071</v>
      </c>
      <c r="D1257">
        <f>3.98948282076923*(0.3)</f>
        <v>1.196844846230769</v>
      </c>
      <c r="E1257">
        <f>3.98948282076923*(0.3)</f>
        <v>1.196844846230769</v>
      </c>
      <c r="F1257">
        <f>3.98948282076923*(0.3)</f>
        <v>1.196844846230769</v>
      </c>
      <c r="G1257">
        <f>2.39368969246154*(0.3)</f>
        <v>0.71810690773846142</v>
      </c>
      <c r="H1257">
        <f>3.98948282076923*(0.3)</f>
        <v>1.196844846230769</v>
      </c>
      <c r="I1257">
        <f>3.98948282076923*(0.3)</f>
        <v>1.196844846230769</v>
      </c>
      <c r="J1257">
        <f>-0.797896564153846*(0.3)</f>
        <v>-0.23936896924615375</v>
      </c>
      <c r="K1257">
        <f>3.98948282076923*(0.3)</f>
        <v>1.196844846230769</v>
      </c>
      <c r="L1257">
        <f>1.95484658217692*(0.3)</f>
        <v>0.58645397465307691</v>
      </c>
      <c r="M1257">
        <f>4.38843110284615*(0.3)</f>
        <v>1.3165293308538459</v>
      </c>
      <c r="N1257">
        <f>3.98948282076923*(0.3)</f>
        <v>1.196844846230769</v>
      </c>
    </row>
    <row r="1258" spans="1:14" x14ac:dyDescent="0.25">
      <c r="A1258">
        <f>-1.008502626*(0.3)</f>
        <v>-0.3025507878</v>
      </c>
      <c r="B1258">
        <f>0.0775771250769231*(0.3)</f>
        <v>2.3273137523076921E-2</v>
      </c>
      <c r="C1258">
        <f>0.232731375230769*(0.3)</f>
        <v>6.9819412569230771E-2</v>
      </c>
      <c r="D1258">
        <f>0.0775771250769231*(0.3)</f>
        <v>2.3273137523076921E-2</v>
      </c>
      <c r="E1258">
        <f>0.0775771250769231*(0.3)</f>
        <v>2.3273137523076921E-2</v>
      </c>
      <c r="F1258">
        <f>0.0775771250769231*(0.3)</f>
        <v>2.3273137523076921E-2</v>
      </c>
      <c r="G1258">
        <f>0.0465462750461538*(0.3)</f>
        <v>1.3963882513846152E-2</v>
      </c>
      <c r="H1258">
        <f>0.0775771250769231*(0.3)</f>
        <v>2.3273137523076921E-2</v>
      </c>
      <c r="I1258">
        <f>0.0775771250769231*(0.3)</f>
        <v>2.3273137523076921E-2</v>
      </c>
      <c r="J1258">
        <f>-0.0155154250153846*(0.3)</f>
        <v>-4.6546275046153831E-3</v>
      </c>
      <c r="K1258">
        <f>0.0775771250769231*(0.3)</f>
        <v>2.3273137523076921E-2</v>
      </c>
      <c r="L1258">
        <f>0.0380127912876923*(0.3)</f>
        <v>1.1403837386307691E-2</v>
      </c>
      <c r="M1258">
        <f>0.0853348375846154*(0.3)</f>
        <v>2.5600451275384618E-2</v>
      </c>
      <c r="N1258">
        <f>0.0775771250769231*(0.3)</f>
        <v>2.3273137523076921E-2</v>
      </c>
    </row>
    <row r="1259" spans="1:14" x14ac:dyDescent="0.25">
      <c r="A1259">
        <f>-62.75664925*(0.3)</f>
        <v>-18.826994774999999</v>
      </c>
      <c r="B1259">
        <f>4.82743455769231*(0.3)</f>
        <v>1.4482303673076922</v>
      </c>
      <c r="C1259">
        <f>14.4823036730769*(0.3)</f>
        <v>4.3446911019230772</v>
      </c>
      <c r="D1259">
        <f>4.82743455769231*(0.3)</f>
        <v>1.4482303673076922</v>
      </c>
      <c r="E1259">
        <f>4.82743455769231*(0.3)</f>
        <v>1.4482303673076922</v>
      </c>
      <c r="F1259">
        <f>4.82743455769231*(0.3)</f>
        <v>1.4482303673076922</v>
      </c>
      <c r="G1259">
        <f>2.89646073461538*(0.3)</f>
        <v>0.86893822038461532</v>
      </c>
      <c r="H1259">
        <f>4.82743455769231*(0.3)</f>
        <v>1.4482303673076922</v>
      </c>
      <c r="I1259">
        <f>4.82743455769231*(0.3)</f>
        <v>1.4482303673076922</v>
      </c>
      <c r="J1259">
        <f>-0.965486911538461*(0.3)</f>
        <v>-0.28964607346153837</v>
      </c>
      <c r="K1259">
        <f>4.82743455769231*(0.3)</f>
        <v>1.4482303673076922</v>
      </c>
      <c r="L1259">
        <f>2.36544293326923*(0.3)</f>
        <v>0.70963287998076918</v>
      </c>
      <c r="M1259">
        <f>5.31017801346154*(0.3)</f>
        <v>1.5930534040384616</v>
      </c>
      <c r="N1259">
        <f>4.82743455769231*(0.3)</f>
        <v>1.4482303673076922</v>
      </c>
    </row>
    <row r="1260" spans="1:14" x14ac:dyDescent="0.25">
      <c r="A1260">
        <f>0.894893414*(0.3)</f>
        <v>0.26846802419999999</v>
      </c>
      <c r="B1260">
        <f>-0.0688379549230769*(0.3)</f>
        <v>-2.0651386476923078E-2</v>
      </c>
      <c r="C1260">
        <f>-0.206513864769231*(0.3)</f>
        <v>-6.1954159430769234E-2</v>
      </c>
      <c r="D1260">
        <f>-0.0688379549230769*(0.3)</f>
        <v>-2.0651386476923078E-2</v>
      </c>
      <c r="E1260">
        <f>-0.0688379549230769*(0.3)</f>
        <v>-2.0651386476923078E-2</v>
      </c>
      <c r="F1260">
        <f>-0.0688379549230769*(0.3)</f>
        <v>-2.0651386476923078E-2</v>
      </c>
      <c r="G1260">
        <f>-0.0413027729538462*(0.3)</f>
        <v>-1.2390831886153846E-2</v>
      </c>
      <c r="H1260">
        <f>-0.0688379549230769*(0.3)</f>
        <v>-2.0651386476923078E-2</v>
      </c>
      <c r="I1260">
        <f>-0.0688379549230769*(0.3)</f>
        <v>-2.0651386476923078E-2</v>
      </c>
      <c r="J1260">
        <f>0.0137675909846154*(0.3)</f>
        <v>4.1302772953846142E-3</v>
      </c>
      <c r="K1260">
        <f>-0.0688379549230769*(0.3)</f>
        <v>-2.0651386476923078E-2</v>
      </c>
      <c r="L1260">
        <f>-0.0337305979123077*(0.3)</f>
        <v>-1.0119179373692309E-2</v>
      </c>
      <c r="M1260">
        <f>-0.0757217504153846*(0.3)</f>
        <v>-2.2716525124615385E-2</v>
      </c>
      <c r="N1260">
        <f>-0.0688379549230769*(0.3)</f>
        <v>-2.0651386476923078E-2</v>
      </c>
    </row>
    <row r="1261" spans="1:14" x14ac:dyDescent="0.25">
      <c r="A1261">
        <f>-72.53349906*(0.3)</f>
        <v>-21.760049717999998</v>
      </c>
      <c r="B1261">
        <f>5.57949992769231*(0.3)</f>
        <v>1.6738499783076921</v>
      </c>
      <c r="C1261">
        <f>16.7384997830769*(0.3)</f>
        <v>5.0215499349230761</v>
      </c>
      <c r="D1261">
        <f>5.57949992769231*(0.3)</f>
        <v>1.6738499783076921</v>
      </c>
      <c r="E1261">
        <f>5.57949992769231*(0.3)</f>
        <v>1.6738499783076921</v>
      </c>
      <c r="F1261">
        <f>5.57949992769231*(0.3)</f>
        <v>1.6738499783076921</v>
      </c>
      <c r="G1261">
        <f>3.34769995661538*(0.3)</f>
        <v>1.0043099869846153</v>
      </c>
      <c r="H1261">
        <f>5.57949992769231*(0.3)</f>
        <v>1.6738499783076921</v>
      </c>
      <c r="I1261">
        <f>5.57949992769231*(0.3)</f>
        <v>1.6738499783076921</v>
      </c>
      <c r="J1261">
        <f>-1.11589998553846*(0.3)</f>
        <v>-0.33476999566153837</v>
      </c>
      <c r="K1261">
        <f>5.57949992769231*(0.3)</f>
        <v>1.6738499783076921</v>
      </c>
      <c r="L1261">
        <f>2.73395496456923*(0.3)</f>
        <v>0.8201864893707691</v>
      </c>
      <c r="M1261">
        <f>6.13744992046154*(0.3)</f>
        <v>1.8412349761384614</v>
      </c>
      <c r="N1261">
        <f>5.57949992769231*(0.3)</f>
        <v>1.6738499783076921</v>
      </c>
    </row>
    <row r="1262" spans="1:14" x14ac:dyDescent="0.25">
      <c r="A1262">
        <f>2.681076207*(0.3)</f>
        <v>0.80432286209999992</v>
      </c>
      <c r="B1262">
        <f>-0.206236631307692*(0.3)</f>
        <v>-6.1870989392307688E-2</v>
      </c>
      <c r="C1262">
        <f>-0.618709893923077*(0.3)</f>
        <v>-0.18561296817692305</v>
      </c>
      <c r="D1262">
        <f>-0.206236631307692*(0.3)</f>
        <v>-6.1870989392307688E-2</v>
      </c>
      <c r="E1262">
        <f>-0.206236631307692*(0.3)</f>
        <v>-6.1870989392307688E-2</v>
      </c>
      <c r="F1262">
        <f>-0.206236631307692*(0.3)</f>
        <v>-6.1870989392307688E-2</v>
      </c>
      <c r="G1262">
        <f>-0.123741978784615*(0.3)</f>
        <v>-3.7122593635384608E-2</v>
      </c>
      <c r="H1262">
        <f>-0.206236631307692*(0.3)</f>
        <v>-6.1870989392307688E-2</v>
      </c>
      <c r="I1262">
        <f>-0.206236631307692*(0.3)</f>
        <v>-6.1870989392307688E-2</v>
      </c>
      <c r="J1262">
        <f>0.0412473262615385*(0.3)</f>
        <v>1.2374197878461534E-2</v>
      </c>
      <c r="K1262">
        <f>-0.206236631307692*(0.3)</f>
        <v>-6.1870989392307688E-2</v>
      </c>
      <c r="L1262">
        <f>-0.101055949340769*(0.3)</f>
        <v>-3.0316784802230767E-2</v>
      </c>
      <c r="M1262">
        <f>-0.226860294438462*(0.3)</f>
        <v>-6.8058088331538452E-2</v>
      </c>
      <c r="N1262">
        <f>-0.206236631307692*(0.3)</f>
        <v>-6.1870989392307688E-2</v>
      </c>
    </row>
    <row r="1263" spans="1:14" x14ac:dyDescent="0.25">
      <c r="A1263">
        <f>-82.97759852*(0.3)</f>
        <v>-24.893279556</v>
      </c>
      <c r="B1263">
        <f>6.38289219384615*(0.3)</f>
        <v>1.9148676581538462</v>
      </c>
      <c r="C1263">
        <f>19.1486765815385*(0.3)</f>
        <v>5.7446029744615386</v>
      </c>
      <c r="D1263">
        <f>6.38289219384615*(0.3)</f>
        <v>1.9148676581538462</v>
      </c>
      <c r="E1263">
        <f>6.38289219384615*(0.3)</f>
        <v>1.9148676581538462</v>
      </c>
      <c r="F1263">
        <f>6.38289219384615*(0.3)</f>
        <v>1.9148676581538462</v>
      </c>
      <c r="G1263">
        <f>3.82973531630769*(0.3)</f>
        <v>1.1489205948923076</v>
      </c>
      <c r="H1263">
        <f>6.38289219384615*(0.3)</f>
        <v>1.9148676581538462</v>
      </c>
      <c r="I1263">
        <f>6.38289219384615*(0.3)</f>
        <v>1.9148676581538462</v>
      </c>
      <c r="J1263">
        <f>-1.27657843876923*(0.3)</f>
        <v>-0.38297353163076914</v>
      </c>
      <c r="K1263">
        <f>6.38289219384615*(0.3)</f>
        <v>1.9148676581538462</v>
      </c>
      <c r="L1263">
        <f>3.12761717498462*(0.3)</f>
        <v>0.93828515249538458</v>
      </c>
      <c r="M1263">
        <f>7.02118141323077*(0.3)</f>
        <v>2.1063544239692309</v>
      </c>
      <c r="N1263">
        <f>6.38289219384615*(0.3)</f>
        <v>1.9148676581538462</v>
      </c>
    </row>
    <row r="1264" spans="1:14" x14ac:dyDescent="0.25">
      <c r="A1264">
        <f>2.436327466*(0.3)</f>
        <v>0.7308982397999999</v>
      </c>
      <c r="B1264">
        <f>-0.187409805076923*(0.3)</f>
        <v>-5.6222941523076914E-2</v>
      </c>
      <c r="C1264">
        <f>-0.562229415230769*(0.3)</f>
        <v>-0.16866882456923074</v>
      </c>
      <c r="D1264">
        <f>-0.187409805076923*(0.3)</f>
        <v>-5.6222941523076914E-2</v>
      </c>
      <c r="E1264">
        <f>-0.187409805076923*(0.3)</f>
        <v>-5.6222941523076914E-2</v>
      </c>
      <c r="F1264">
        <f>-0.187409805076923*(0.3)</f>
        <v>-5.6222941523076914E-2</v>
      </c>
      <c r="G1264">
        <f>-0.112445883046154*(0.3)</f>
        <v>-3.3733764913846144E-2</v>
      </c>
      <c r="H1264">
        <f>-0.187409805076923*(0.3)</f>
        <v>-5.6222941523076914E-2</v>
      </c>
      <c r="I1264">
        <f>-0.187409805076923*(0.3)</f>
        <v>-5.6222941523076914E-2</v>
      </c>
      <c r="J1264">
        <f>0.0374819610153846*(0.3)</f>
        <v>1.1244588304615381E-2</v>
      </c>
      <c r="K1264">
        <f>-0.187409805076923*(0.3)</f>
        <v>-5.6222941523076914E-2</v>
      </c>
      <c r="L1264">
        <f>-0.0918308044876923*(0.3)</f>
        <v>-2.7549241346307689E-2</v>
      </c>
      <c r="M1264">
        <f>-0.206150785584615*(0.3)</f>
        <v>-6.1845235675384615E-2</v>
      </c>
      <c r="N1264">
        <f>-0.187409805076923*(0.3)</f>
        <v>-5.6222941523076914E-2</v>
      </c>
    </row>
    <row r="1265" spans="1:14" x14ac:dyDescent="0.25">
      <c r="A1265">
        <f>-6.867857081*(0.3)</f>
        <v>-2.0603571242999998</v>
      </c>
      <c r="B1265">
        <f>0.528296698538462*(0.3)</f>
        <v>0.15848900956153847</v>
      </c>
      <c r="C1265">
        <f>1.58489009561538*(0.3)</f>
        <v>0.47546702868461543</v>
      </c>
      <c r="D1265">
        <f>0.528296698538462*(0.3)</f>
        <v>0.15848900956153847</v>
      </c>
      <c r="E1265">
        <f>0.528296698538462*(0.3)</f>
        <v>0.15848900956153847</v>
      </c>
      <c r="F1265">
        <f>0.528296698538462*(0.3)</f>
        <v>0.15848900956153847</v>
      </c>
      <c r="G1265">
        <f>0.316978019123077*(0.3)</f>
        <v>9.5093405736923084E-2</v>
      </c>
      <c r="H1265">
        <f>0.528296698538462*(0.3)</f>
        <v>0.15848900956153847</v>
      </c>
      <c r="I1265">
        <f>0.528296698538462*(0.3)</f>
        <v>0.15848900956153847</v>
      </c>
      <c r="J1265">
        <f>-0.105659339707692*(0.3)</f>
        <v>-3.1697801912307685E-2</v>
      </c>
      <c r="K1265">
        <f>0.528296698538462*(0.3)</f>
        <v>0.15848900956153847</v>
      </c>
      <c r="L1265">
        <f>0.258865382283846*(0.3)</f>
        <v>7.7659614685153852E-2</v>
      </c>
      <c r="M1265">
        <f>0.581126368392308*(0.3)</f>
        <v>0.17433791051769235</v>
      </c>
      <c r="N1265">
        <f>0.528296698538462*(0.3)</f>
        <v>0.15848900956153847</v>
      </c>
    </row>
    <row r="1266" spans="1:14" x14ac:dyDescent="0.25">
      <c r="A1266">
        <f>0.539443027*(0.3)</f>
        <v>0.16183290810000001</v>
      </c>
      <c r="B1266">
        <f>-0.0414956174615385*(0.3)</f>
        <v>-1.244868523846154E-2</v>
      </c>
      <c r="C1266">
        <f>-0.124486852384615*(0.3)</f>
        <v>-3.7346055715384623E-2</v>
      </c>
      <c r="D1266">
        <f>-0.0414956174615385*(0.3)</f>
        <v>-1.244868523846154E-2</v>
      </c>
      <c r="E1266">
        <f>-0.0414956174615385*(0.3)</f>
        <v>-1.244868523846154E-2</v>
      </c>
      <c r="F1266">
        <f>-0.0414956174615385*(0.3)</f>
        <v>-1.244868523846154E-2</v>
      </c>
      <c r="G1266">
        <f>-0.0248973704769231*(0.3)</f>
        <v>-7.4692111430769235E-3</v>
      </c>
      <c r="H1266">
        <f>-0.0414956174615385*(0.3)</f>
        <v>-1.244868523846154E-2</v>
      </c>
      <c r="I1266">
        <f>-0.0414956174615385*(0.3)</f>
        <v>-1.244868523846154E-2</v>
      </c>
      <c r="J1266">
        <f>0.00829912349230769*(0.3)</f>
        <v>2.4897370476923072E-3</v>
      </c>
      <c r="K1266">
        <f>-0.0414956174615385*(0.3)</f>
        <v>-1.244868523846154E-2</v>
      </c>
      <c r="L1266">
        <f>-0.0203328525561538*(0.3)</f>
        <v>-6.0998557668461538E-3</v>
      </c>
      <c r="M1266">
        <f>-0.0456451792076923*(0.3)</f>
        <v>-1.3693553762307695E-2</v>
      </c>
      <c r="N1266">
        <f>-0.0414956174615385*(0.3)</f>
        <v>-1.244868523846154E-2</v>
      </c>
    </row>
    <row r="1267" spans="1:14" x14ac:dyDescent="0.25">
      <c r="A1267">
        <f>-8.654268356*(0.3)</f>
        <v>-2.5962805067999999</v>
      </c>
      <c r="B1267">
        <f>0.665712950461538*(0.3)</f>
        <v>0.19971388513846153</v>
      </c>
      <c r="C1267">
        <f>1.99713885138462*(0.3)</f>
        <v>0.59914165541538456</v>
      </c>
      <c r="D1267">
        <f>0.665712950461538*(0.3)</f>
        <v>0.19971388513846153</v>
      </c>
      <c r="E1267">
        <f>0.665712950461538*(0.3)</f>
        <v>0.19971388513846153</v>
      </c>
      <c r="F1267">
        <f>0.665712950461538*(0.3)</f>
        <v>0.19971388513846153</v>
      </c>
      <c r="G1267">
        <f>0.399427770276923*(0.3)</f>
        <v>0.11982833108307692</v>
      </c>
      <c r="H1267">
        <f>0.665712950461538*(0.3)</f>
        <v>0.19971388513846153</v>
      </c>
      <c r="I1267">
        <f>0.665712950461538*(0.3)</f>
        <v>0.19971388513846153</v>
      </c>
      <c r="J1267">
        <f>-0.133142590092308*(0.3)</f>
        <v>-3.9942777027692299E-2</v>
      </c>
      <c r="K1267">
        <f>0.665712950461538*(0.3)</f>
        <v>0.19971388513846153</v>
      </c>
      <c r="L1267">
        <f>0.326199345726154*(0.3)</f>
        <v>9.7859803717846153E-2</v>
      </c>
      <c r="M1267">
        <f>0.732284245507692*(0.3)</f>
        <v>0.21968527365230769</v>
      </c>
      <c r="N1267">
        <f>0.665712950461538*(0.3)</f>
        <v>0.19971388513846153</v>
      </c>
    </row>
    <row r="1268" spans="1:14" x14ac:dyDescent="0.25">
      <c r="A1268">
        <f>1.862257739*(0.3)</f>
        <v>0.55867732169999995</v>
      </c>
      <c r="B1268">
        <f>-0.143250595307692*(0.3)</f>
        <v>-4.2975178592307685E-2</v>
      </c>
      <c r="C1268">
        <f>-0.429751785923077*(0.3)</f>
        <v>-0.12892553577692306</v>
      </c>
      <c r="D1268">
        <f>-0.143250595307692*(0.3)</f>
        <v>-4.2975178592307685E-2</v>
      </c>
      <c r="E1268">
        <f>-0.143250595307692*(0.3)</f>
        <v>-4.2975178592307685E-2</v>
      </c>
      <c r="F1268">
        <f>-0.143250595307692*(0.3)</f>
        <v>-4.2975178592307685E-2</v>
      </c>
      <c r="G1268">
        <f>-0.0859503571846154*(0.3)</f>
        <v>-2.578510715538461E-2</v>
      </c>
      <c r="H1268">
        <f>-0.143250595307692*(0.3)</f>
        <v>-4.2975178592307685E-2</v>
      </c>
      <c r="I1268">
        <f>-0.143250595307692*(0.3)</f>
        <v>-4.2975178592307685E-2</v>
      </c>
      <c r="J1268">
        <f>0.0286501190615385*(0.3)</f>
        <v>8.5950357184615359E-3</v>
      </c>
      <c r="K1268">
        <f>-0.143250595307692*(0.3)</f>
        <v>-4.2975178592307685E-2</v>
      </c>
      <c r="L1268">
        <f>-0.0701927917007692*(0.3)</f>
        <v>-2.1057837510230767E-2</v>
      </c>
      <c r="M1268">
        <f>-0.157575654838462*(0.3)</f>
        <v>-4.7272696451538455E-2</v>
      </c>
      <c r="N1268">
        <f>-0.143250595307692*(0.3)</f>
        <v>-4.2975178592307685E-2</v>
      </c>
    </row>
    <row r="1269" spans="1:14" x14ac:dyDescent="0.25">
      <c r="A1269">
        <f>-11.86775528*(0.3)</f>
        <v>-3.5603265840000002</v>
      </c>
      <c r="B1269">
        <f>0.912904252307692*(0.3)</f>
        <v>0.27387127569230768</v>
      </c>
      <c r="C1269">
        <f>2.73871275692308*(0.3)</f>
        <v>0.8216138270769231</v>
      </c>
      <c r="D1269">
        <f>0.912904252307692*(0.3)</f>
        <v>0.27387127569230768</v>
      </c>
      <c r="E1269">
        <f>0.912904252307692*(0.3)</f>
        <v>0.27387127569230768</v>
      </c>
      <c r="F1269">
        <f>0.912904252307692*(0.3)</f>
        <v>0.27387127569230768</v>
      </c>
      <c r="G1269">
        <f>0.547742551384615*(0.3)</f>
        <v>0.1643227654153846</v>
      </c>
      <c r="H1269">
        <f>0.912904252307692*(0.3)</f>
        <v>0.27387127569230768</v>
      </c>
      <c r="I1269">
        <f>0.912904252307692*(0.3)</f>
        <v>0.27387127569230768</v>
      </c>
      <c r="J1269">
        <f>-0.182580850461538*(0.3)</f>
        <v>-5.4774255138461528E-2</v>
      </c>
      <c r="K1269">
        <f>0.912904252307692*(0.3)</f>
        <v>0.27387127569230768</v>
      </c>
      <c r="L1269">
        <f>0.447323083630769*(0.3)</f>
        <v>0.13419692508923076</v>
      </c>
      <c r="M1269">
        <f>1.00419467753846*(0.3)</f>
        <v>0.30125840326153847</v>
      </c>
      <c r="N1269">
        <f>0.912904252307692*(0.3)</f>
        <v>0.27387127569230768</v>
      </c>
    </row>
    <row r="1270" spans="1:14" x14ac:dyDescent="0.25">
      <c r="A1270">
        <f>-0.481225654*(0.3)</f>
        <v>-0.14436769620000001</v>
      </c>
      <c r="B1270">
        <f>0.037017358*(0.3)</f>
        <v>1.1105207399999999E-2</v>
      </c>
      <c r="C1270">
        <f>0.111052074*(0.3)</f>
        <v>3.3315622199999999E-2</v>
      </c>
      <c r="D1270">
        <f>0.037017358*(0.3)</f>
        <v>1.1105207399999999E-2</v>
      </c>
      <c r="E1270">
        <f>0.037017358*(0.3)</f>
        <v>1.1105207399999999E-2</v>
      </c>
      <c r="F1270">
        <f>0.037017358*(0.3)</f>
        <v>1.1105207399999999E-2</v>
      </c>
      <c r="G1270">
        <f>0.0222104148*(0.3)</f>
        <v>6.6631244399999994E-3</v>
      </c>
      <c r="H1270">
        <f>0.037017358*(0.3)</f>
        <v>1.1105207399999999E-2</v>
      </c>
      <c r="I1270">
        <f>0.037017358*(0.3)</f>
        <v>1.1105207399999999E-2</v>
      </c>
      <c r="J1270">
        <f>-0.0074034716*(0.3)</f>
        <v>-2.2210414799999994E-3</v>
      </c>
      <c r="K1270">
        <f>0.037017358*(0.3)</f>
        <v>1.1105207399999999E-2</v>
      </c>
      <c r="L1270">
        <f>0.01813850542*(0.3)</f>
        <v>5.4415516259999994E-3</v>
      </c>
      <c r="M1270">
        <f>0.0407190938*(0.3)</f>
        <v>1.221572814E-2</v>
      </c>
      <c r="N1270">
        <f>0.037017358*(0.3)</f>
        <v>1.1105207399999999E-2</v>
      </c>
    </row>
    <row r="1271" spans="1:14" x14ac:dyDescent="0.25">
      <c r="A1271">
        <f>-13.09038493*(0.3)</f>
        <v>-3.9271154790000002</v>
      </c>
      <c r="B1271">
        <f>1.00695268692308*(0.3)</f>
        <v>0.30208580607692309</v>
      </c>
      <c r="C1271">
        <f>3.02085806076923*(0.3)</f>
        <v>0.90625741823076922</v>
      </c>
      <c r="D1271">
        <f>1.00695268692308*(0.3)</f>
        <v>0.30208580607692309</v>
      </c>
      <c r="E1271">
        <f>1.00695268692308*(0.3)</f>
        <v>0.30208580607692309</v>
      </c>
      <c r="F1271">
        <f>1.00695268692308*(0.3)</f>
        <v>0.30208580607692309</v>
      </c>
      <c r="G1271">
        <f>0.604171612153846*(0.3)</f>
        <v>0.18125148364615384</v>
      </c>
      <c r="H1271">
        <f>1.00695268692308*(0.3)</f>
        <v>0.30208580607692309</v>
      </c>
      <c r="I1271">
        <f>1.00695268692308*(0.3)</f>
        <v>0.30208580607692309</v>
      </c>
      <c r="J1271">
        <f>-0.201390537384615*(0.3)</f>
        <v>-6.0417161215384603E-2</v>
      </c>
      <c r="K1271">
        <f>1.00695268692308*(0.3)</f>
        <v>0.30208580607692309</v>
      </c>
      <c r="L1271">
        <f>0.493406816592308*(0.3)</f>
        <v>0.14802204497769231</v>
      </c>
      <c r="M1271">
        <f>1.10764795561538*(0.3)</f>
        <v>0.33229438668461536</v>
      </c>
      <c r="N1271">
        <f>1.00695268692308*(0.3)</f>
        <v>0.30208580607692309</v>
      </c>
    </row>
    <row r="1272" spans="1:14" x14ac:dyDescent="0.25">
      <c r="A1272">
        <f>-0.641999065*(0.3)</f>
        <v>-0.19259971950000002</v>
      </c>
      <c r="B1272">
        <f>0.0493845434615385*(0.3)</f>
        <v>1.4815363038461538E-2</v>
      </c>
      <c r="C1272">
        <f>0.148153630384615*(0.3)</f>
        <v>4.4446089115384613E-2</v>
      </c>
      <c r="D1272">
        <f>0.0493845434615385*(0.3)</f>
        <v>1.4815363038461538E-2</v>
      </c>
      <c r="E1272">
        <f>0.0493845434615385*(0.3)</f>
        <v>1.4815363038461538E-2</v>
      </c>
      <c r="F1272">
        <f>0.0493845434615385*(0.3)</f>
        <v>1.4815363038461538E-2</v>
      </c>
      <c r="G1272">
        <f>0.0296307260769231*(0.3)</f>
        <v>8.8892178230769222E-3</v>
      </c>
      <c r="H1272">
        <f>0.0493845434615385*(0.3)</f>
        <v>1.4815363038461538E-2</v>
      </c>
      <c r="I1272">
        <f>0.0493845434615385*(0.3)</f>
        <v>1.4815363038461538E-2</v>
      </c>
      <c r="J1272">
        <f>-0.00987690869230769*(0.3)</f>
        <v>-2.9630726076923073E-3</v>
      </c>
      <c r="K1272">
        <f>0.0493845434615385*(0.3)</f>
        <v>1.4815363038461538E-2</v>
      </c>
      <c r="L1272">
        <f>0.0241984262961538*(0.3)</f>
        <v>7.2595278888461538E-3</v>
      </c>
      <c r="M1272">
        <f>0.0543229978076923*(0.3)</f>
        <v>1.6296899342307693E-2</v>
      </c>
      <c r="N1272">
        <f>0.0493845434615385*(0.3)</f>
        <v>1.4815363038461538E-2</v>
      </c>
    </row>
    <row r="1273" spans="1:14" x14ac:dyDescent="0.25">
      <c r="A1273">
        <f>-12.30289868*(0.3)</f>
        <v>-3.690869604</v>
      </c>
      <c r="B1273">
        <f>0.946376821538462*(0.3)</f>
        <v>0.28391304646153848</v>
      </c>
      <c r="C1273">
        <f>2.83913046461538*(0.3)</f>
        <v>0.85173913938461543</v>
      </c>
      <c r="D1273">
        <f>0.946376821538462*(0.3)</f>
        <v>0.28391304646153848</v>
      </c>
      <c r="E1273">
        <f>0.946376821538462*(0.3)</f>
        <v>0.28391304646153848</v>
      </c>
      <c r="F1273">
        <f>0.946376821538462*(0.3)</f>
        <v>0.28391304646153848</v>
      </c>
      <c r="G1273">
        <f>0.567826092923077*(0.3)</f>
        <v>0.17034782787692307</v>
      </c>
      <c r="H1273">
        <f>0.946376821538462*(0.3)</f>
        <v>0.28391304646153848</v>
      </c>
      <c r="I1273">
        <f>0.946376821538462*(0.3)</f>
        <v>0.28391304646153848</v>
      </c>
      <c r="J1273">
        <f>-0.189275364307692*(0.3)</f>
        <v>-5.6782609292307676E-2</v>
      </c>
      <c r="K1273">
        <f>0.946376821538462*(0.3)</f>
        <v>0.28391304646153848</v>
      </c>
      <c r="L1273">
        <f>0.463724642553846*(0.3)</f>
        <v>0.13911739276615384</v>
      </c>
      <c r="M1273">
        <f>1.04101450369231*(0.3)</f>
        <v>0.31230435110769234</v>
      </c>
      <c r="N1273">
        <f>0.946376821538462*(0.3)</f>
        <v>0.28391304646153848</v>
      </c>
    </row>
    <row r="1274" spans="1:14" x14ac:dyDescent="0.25">
      <c r="A1274">
        <f>-0.663791299*(0.3)</f>
        <v>-0.1991373897</v>
      </c>
      <c r="B1274">
        <f>0.0510608691538462*(0.3)</f>
        <v>1.5318260746153846E-2</v>
      </c>
      <c r="C1274">
        <f>0.153182607461538*(0.3)</f>
        <v>4.5954782238461535E-2</v>
      </c>
      <c r="D1274">
        <f>0.0510608691538462*(0.3)</f>
        <v>1.5318260746153846E-2</v>
      </c>
      <c r="E1274">
        <f>0.0510608691538462*(0.3)</f>
        <v>1.5318260746153846E-2</v>
      </c>
      <c r="F1274">
        <f>0.0510608691538462*(0.3)</f>
        <v>1.5318260746153846E-2</v>
      </c>
      <c r="G1274">
        <f>0.0306365214923077*(0.3)</f>
        <v>9.190956447692307E-3</v>
      </c>
      <c r="H1274">
        <f>0.0510608691538462*(0.3)</f>
        <v>1.5318260746153846E-2</v>
      </c>
      <c r="I1274">
        <f>0.0510608691538462*(0.3)</f>
        <v>1.5318260746153846E-2</v>
      </c>
      <c r="J1274">
        <f>-0.0102121738307692*(0.3)</f>
        <v>-3.063652149230768E-3</v>
      </c>
      <c r="K1274">
        <f>0.0510608691538462*(0.3)</f>
        <v>1.5318260746153846E-2</v>
      </c>
      <c r="L1274">
        <f>0.0250198258853846*(0.3)</f>
        <v>7.5059477656153843E-3</v>
      </c>
      <c r="M1274">
        <f>0.0561669560692308*(0.3)</f>
        <v>1.6850086820769231E-2</v>
      </c>
      <c r="N1274">
        <f>0.0510608691538462*(0.3)</f>
        <v>1.5318260746153846E-2</v>
      </c>
    </row>
    <row r="1275" spans="1:14" x14ac:dyDescent="0.25">
      <c r="A1275">
        <f>-20.04531906*(0.3)</f>
        <v>-6.0135957180000004</v>
      </c>
      <c r="B1275">
        <f>1.54194762*(0.3)</f>
        <v>0.46258428599999996</v>
      </c>
      <c r="C1275">
        <f>4.62584286*(0.3)</f>
        <v>1.3877528579999998</v>
      </c>
      <c r="D1275">
        <f>1.54194762*(0.3)</f>
        <v>0.46258428599999996</v>
      </c>
      <c r="E1275">
        <f>1.54194762*(0.3)</f>
        <v>0.46258428599999996</v>
      </c>
      <c r="F1275">
        <f>1.54194762*(0.3)</f>
        <v>0.46258428599999996</v>
      </c>
      <c r="G1275">
        <f>0.925168572*(0.3)</f>
        <v>0.27755057159999996</v>
      </c>
      <c r="H1275">
        <f>1.54194762*(0.3)</f>
        <v>0.46258428599999996</v>
      </c>
      <c r="I1275">
        <f>1.54194762*(0.3)</f>
        <v>0.46258428599999996</v>
      </c>
      <c r="J1275">
        <f>-0.308389524*(0.3)</f>
        <v>-9.2516857199999969E-2</v>
      </c>
      <c r="K1275">
        <f>1.54194762*(0.3)</f>
        <v>0.46258428599999996</v>
      </c>
      <c r="L1275">
        <f>0.7555543338*(0.3)</f>
        <v>0.22666630013999997</v>
      </c>
      <c r="M1275">
        <f>1.696142382*(0.3)</f>
        <v>0.50884271459999997</v>
      </c>
      <c r="N1275">
        <f>1.54194762*(0.3)</f>
        <v>0.46258428599999996</v>
      </c>
    </row>
    <row r="1276" spans="1:14" x14ac:dyDescent="0.25">
      <c r="A1276">
        <f>-0.089050283*(0.3)</f>
        <v>-2.6715084899999998E-2</v>
      </c>
      <c r="B1276">
        <f>0.00685002176923077*(0.3)</f>
        <v>2.0550065307692305E-3</v>
      </c>
      <c r="C1276">
        <f>0.0205500653076923*(0.3)</f>
        <v>6.1650195923076924E-3</v>
      </c>
      <c r="D1276">
        <f>0.00685002176923077*(0.3)</f>
        <v>2.0550065307692305E-3</v>
      </c>
      <c r="E1276">
        <f>0.00685002176923077*(0.3)</f>
        <v>2.0550065307692305E-3</v>
      </c>
      <c r="F1276">
        <f>0.00685002176923077*(0.3)</f>
        <v>2.0550065307692305E-3</v>
      </c>
      <c r="G1276">
        <f>0.00411001306153846*(0.3)</f>
        <v>1.2330039184615383E-3</v>
      </c>
      <c r="H1276">
        <f>0.00685002176923077*(0.3)</f>
        <v>2.0550065307692305E-3</v>
      </c>
      <c r="I1276">
        <f>0.00685002176923077*(0.3)</f>
        <v>2.0550065307692305E-3</v>
      </c>
      <c r="J1276">
        <f>-0.00137000435384615*(0.3)</f>
        <v>-4.1100130615384607E-4</v>
      </c>
      <c r="K1276">
        <f>0.00685002176923077*(0.3)</f>
        <v>2.0550065307692305E-3</v>
      </c>
      <c r="L1276">
        <f>0.00335651066692308*(0.3)</f>
        <v>1.006953200076923E-3</v>
      </c>
      <c r="M1276">
        <f>0.00753502394615385*(0.3)</f>
        <v>2.2605071838461537E-3</v>
      </c>
      <c r="N1276">
        <f>0.00685002176923077*(0.3)</f>
        <v>2.0550065307692305E-3</v>
      </c>
    </row>
    <row r="1277" spans="1:14" x14ac:dyDescent="0.25">
      <c r="A1277">
        <f>-17.57380438*(0.3)</f>
        <v>-5.2721413139999997</v>
      </c>
      <c r="B1277">
        <f>1.35183110615385*(0.3)</f>
        <v>0.40554933184615377</v>
      </c>
      <c r="C1277">
        <f>4.05549331846154*(0.3)</f>
        <v>1.2166479955384615</v>
      </c>
      <c r="D1277">
        <f>1.35183110615385*(0.3)</f>
        <v>0.40554933184615377</v>
      </c>
      <c r="E1277">
        <f>1.35183110615385*(0.3)</f>
        <v>0.40554933184615377</v>
      </c>
      <c r="F1277">
        <f>1.35183110615385*(0.3)</f>
        <v>0.40554933184615377</v>
      </c>
      <c r="G1277">
        <f>0.811098663692308*(0.3)</f>
        <v>0.24332959910769225</v>
      </c>
      <c r="H1277">
        <f>1.35183110615385*(0.3)</f>
        <v>0.40554933184615377</v>
      </c>
      <c r="I1277">
        <f>1.35183110615385*(0.3)</f>
        <v>0.40554933184615377</v>
      </c>
      <c r="J1277">
        <f>-0.270366221230769*(0.3)</f>
        <v>-8.1109866369230746E-2</v>
      </c>
      <c r="K1277">
        <f>1.35183110615385*(0.3)</f>
        <v>0.40554933184615377</v>
      </c>
      <c r="L1277">
        <f>0.662397242015385*(0.3)</f>
        <v>0.19871917260461536</v>
      </c>
      <c r="M1277">
        <f>1.48701421676923*(0.3)</f>
        <v>0.44610426503076916</v>
      </c>
      <c r="N1277">
        <f>1.35183110615385*(0.3)</f>
        <v>0.40554933184615377</v>
      </c>
    </row>
    <row r="1278" spans="1:14" x14ac:dyDescent="0.25">
      <c r="A1278">
        <f>-0.503772557*(0.3)</f>
        <v>-0.15113176710000001</v>
      </c>
      <c r="B1278">
        <f>0.0387517351538462*(0.3)</f>
        <v>1.1625520546153846E-2</v>
      </c>
      <c r="C1278">
        <f>0.116255205461538*(0.3)</f>
        <v>3.4876561638461534E-2</v>
      </c>
      <c r="D1278">
        <f>0.0387517351538462*(0.3)</f>
        <v>1.1625520546153846E-2</v>
      </c>
      <c r="E1278">
        <f>0.0387517351538462*(0.3)</f>
        <v>1.1625520546153846E-2</v>
      </c>
      <c r="F1278">
        <f>0.0387517351538462*(0.3)</f>
        <v>1.1625520546153846E-2</v>
      </c>
      <c r="G1278">
        <f>0.0232510410923077*(0.3)</f>
        <v>6.9753123276923073E-3</v>
      </c>
      <c r="H1278">
        <f>0.0387517351538462*(0.3)</f>
        <v>1.1625520546153846E-2</v>
      </c>
      <c r="I1278">
        <f>0.0387517351538462*(0.3)</f>
        <v>1.1625520546153846E-2</v>
      </c>
      <c r="J1278">
        <f>-0.00775034703076923*(0.3)</f>
        <v>-2.3251041092307687E-3</v>
      </c>
      <c r="K1278">
        <f>0.0387517351538462*(0.3)</f>
        <v>1.1625520546153846E-2</v>
      </c>
      <c r="L1278">
        <f>0.0189883502253846*(0.3)</f>
        <v>5.6965050676153839E-3</v>
      </c>
      <c r="M1278">
        <f>0.0426269086692308*(0.3)</f>
        <v>1.2788072600769232E-2</v>
      </c>
      <c r="N1278">
        <f>0.0387517351538462*(0.3)</f>
        <v>1.1625520546153846E-2</v>
      </c>
    </row>
    <row r="1279" spans="1:14" x14ac:dyDescent="0.25">
      <c r="A1279">
        <f>-22.04119653*(0.3)</f>
        <v>-6.6123589589999998</v>
      </c>
      <c r="B1279">
        <f>1.69547665615385*(0.3)</f>
        <v>0.50864299684615377</v>
      </c>
      <c r="C1279">
        <f>5.08642996846154*(0.3)</f>
        <v>1.5259289905384614</v>
      </c>
      <c r="D1279">
        <f>1.69547665615385*(0.3)</f>
        <v>0.50864299684615377</v>
      </c>
      <c r="E1279">
        <f>1.69547665615385*(0.3)</f>
        <v>0.50864299684615377</v>
      </c>
      <c r="F1279">
        <f>1.69547665615385*(0.3)</f>
        <v>0.50864299684615377</v>
      </c>
      <c r="G1279">
        <f>1.01728599369231*(0.3)</f>
        <v>0.30518579810769225</v>
      </c>
      <c r="H1279">
        <f>1.69547665615385*(0.3)</f>
        <v>0.50864299684615377</v>
      </c>
      <c r="I1279">
        <f>1.69547665615385*(0.3)</f>
        <v>0.50864299684615377</v>
      </c>
      <c r="J1279">
        <f>-0.339095331230769*(0.3)</f>
        <v>-0.10172859936923073</v>
      </c>
      <c r="K1279">
        <f>1.69547665615385*(0.3)</f>
        <v>0.50864299684615377</v>
      </c>
      <c r="L1279">
        <f>0.830783561515385*(0.3)</f>
        <v>0.24923506845461535</v>
      </c>
      <c r="M1279">
        <f>1.86502432176923*(0.3)</f>
        <v>0.55950729653076925</v>
      </c>
      <c r="N1279">
        <f>1.69547665615385*(0.3)</f>
        <v>0.50864299684615377</v>
      </c>
    </row>
    <row r="1280" spans="1:14" x14ac:dyDescent="0.25">
      <c r="A1280">
        <f>-0.462030853*(0.3)</f>
        <v>-0.13860925590000001</v>
      </c>
      <c r="B1280">
        <f>0.0355408348461538*(0.3)</f>
        <v>1.0662250453846155E-2</v>
      </c>
      <c r="C1280">
        <f>0.106622504538462*(0.3)</f>
        <v>3.198675136153846E-2</v>
      </c>
      <c r="D1280">
        <f>0.0355408348461538*(0.3)</f>
        <v>1.0662250453846155E-2</v>
      </c>
      <c r="E1280">
        <f>0.0355408348461538*(0.3)</f>
        <v>1.0662250453846155E-2</v>
      </c>
      <c r="F1280">
        <f>0.0355408348461538*(0.3)</f>
        <v>1.0662250453846155E-2</v>
      </c>
      <c r="G1280">
        <f>0.0213245009076923*(0.3)</f>
        <v>6.3973502723076925E-3</v>
      </c>
      <c r="H1280">
        <f>0.0355408348461538*(0.3)</f>
        <v>1.0662250453846155E-2</v>
      </c>
      <c r="I1280">
        <f>0.0355408348461538*(0.3)</f>
        <v>1.0662250453846155E-2</v>
      </c>
      <c r="J1280">
        <f>-0.00710816696923077*(0.3)</f>
        <v>-2.1324500907692304E-3</v>
      </c>
      <c r="K1280">
        <f>0.0355408348461538*(0.3)</f>
        <v>1.0662250453846155E-2</v>
      </c>
      <c r="L1280">
        <f>0.0174150090746154*(0.3)</f>
        <v>5.2245027223846155E-3</v>
      </c>
      <c r="M1280">
        <f>0.0390949183307692*(0.3)</f>
        <v>1.1728475499230772E-2</v>
      </c>
      <c r="N1280">
        <f>0.0355408348461538*(0.3)</f>
        <v>1.0662250453846155E-2</v>
      </c>
    </row>
    <row r="1281" spans="1:14" x14ac:dyDescent="0.25">
      <c r="A1281">
        <f>-3.039622942*(0.3)</f>
        <v>-0.91188688259999995</v>
      </c>
      <c r="B1281">
        <f>0.233817149384615*(0.3)</f>
        <v>7.0145144815384614E-2</v>
      </c>
      <c r="C1281">
        <f>0.701451448153846*(0.3)</f>
        <v>0.21043543444615381</v>
      </c>
      <c r="D1281">
        <f>0.233817149384615*(0.3)</f>
        <v>7.0145144815384614E-2</v>
      </c>
      <c r="E1281">
        <f>0.233817149384615*(0.3)</f>
        <v>7.0145144815384614E-2</v>
      </c>
      <c r="F1281">
        <f>0.233817149384615*(0.3)</f>
        <v>7.0145144815384614E-2</v>
      </c>
      <c r="G1281">
        <f>0.140290289630769*(0.3)</f>
        <v>4.2087086889230768E-2</v>
      </c>
      <c r="H1281">
        <f>0.233817149384615*(0.3)</f>
        <v>7.0145144815384614E-2</v>
      </c>
      <c r="I1281">
        <f>0.233817149384615*(0.3)</f>
        <v>7.0145144815384614E-2</v>
      </c>
      <c r="J1281">
        <f>-0.0467634298769231*(0.3)</f>
        <v>-1.4029028963076919E-2</v>
      </c>
      <c r="K1281">
        <f>0.233817149384615*(0.3)</f>
        <v>7.0145144815384614E-2</v>
      </c>
      <c r="L1281">
        <f>0.114570403198462*(0.3)</f>
        <v>3.4371120959538454E-2</v>
      </c>
      <c r="M1281">
        <f>0.257198864323077*(0.3)</f>
        <v>7.7159659296923075E-2</v>
      </c>
      <c r="N1281">
        <f>0.233817149384615*(0.3)</f>
        <v>7.0145144815384614E-2</v>
      </c>
    </row>
    <row r="1282" spans="1:14" x14ac:dyDescent="0.25">
      <c r="A1282">
        <f>-2.323865131*(0.3)</f>
        <v>-0.69715953929999996</v>
      </c>
      <c r="B1282">
        <f>0.178758856230769*(0.3)</f>
        <v>5.362765686923076E-2</v>
      </c>
      <c r="C1282">
        <f>0.536276568692308*(0.3)</f>
        <v>0.1608829706076923</v>
      </c>
      <c r="D1282">
        <f>0.178758856230769*(0.3)</f>
        <v>5.362765686923076E-2</v>
      </c>
      <c r="E1282">
        <f>0.178758856230769*(0.3)</f>
        <v>5.362765686923076E-2</v>
      </c>
      <c r="F1282">
        <f>0.178758856230769*(0.3)</f>
        <v>5.362765686923076E-2</v>
      </c>
      <c r="G1282">
        <f>0.107255313738462*(0.3)</f>
        <v>3.2176594121538456E-2</v>
      </c>
      <c r="H1282">
        <f>0.178758856230769*(0.3)</f>
        <v>5.362765686923076E-2</v>
      </c>
      <c r="I1282">
        <f>0.178758856230769*(0.3)</f>
        <v>5.362765686923076E-2</v>
      </c>
      <c r="J1282">
        <f>-0.0357517712461538*(0.3)</f>
        <v>-1.072553137384615E-2</v>
      </c>
      <c r="K1282">
        <f>0.178758856230769*(0.3)</f>
        <v>5.362765686923076E-2</v>
      </c>
      <c r="L1282">
        <f>0.0875918395530769*(0.3)</f>
        <v>2.6277551865923073E-2</v>
      </c>
      <c r="M1282">
        <f>0.196634741853846*(0.3)</f>
        <v>5.8990422556153839E-2</v>
      </c>
      <c r="N1282">
        <f>0.178758856230769*(0.3)</f>
        <v>5.362765686923076E-2</v>
      </c>
    </row>
    <row r="1283" spans="1:14" x14ac:dyDescent="0.25">
      <c r="A1283">
        <f>-0.380782872*(0.3)</f>
        <v>-0.11423486159999999</v>
      </c>
      <c r="B1283">
        <f>0.0292909901538462*(0.3)</f>
        <v>8.7872970461538458E-3</v>
      </c>
      <c r="C1283">
        <f>0.0878729704615385*(0.3)</f>
        <v>2.6361891138461539E-2</v>
      </c>
      <c r="D1283">
        <f>0.0292909901538462*(0.3)</f>
        <v>8.7872970461538458E-3</v>
      </c>
      <c r="E1283">
        <f>0.0292909901538462*(0.3)</f>
        <v>8.7872970461538458E-3</v>
      </c>
      <c r="F1283">
        <f>0.0292909901538462*(0.3)</f>
        <v>8.7872970461538458E-3</v>
      </c>
      <c r="G1283">
        <f>0.0175745940923077*(0.3)</f>
        <v>5.2723782276923072E-3</v>
      </c>
      <c r="H1283">
        <f>0.0292909901538462*(0.3)</f>
        <v>8.7872970461538458E-3</v>
      </c>
      <c r="I1283">
        <f>0.0292909901538462*(0.3)</f>
        <v>8.7872970461538458E-3</v>
      </c>
      <c r="J1283">
        <f>-0.00585819803076923*(0.3)</f>
        <v>-1.7574594092307687E-3</v>
      </c>
      <c r="K1283">
        <f>0.0292909901538462*(0.3)</f>
        <v>8.7872970461538458E-3</v>
      </c>
      <c r="L1283">
        <f>0.0143525851753846*(0.3)</f>
        <v>4.3057755526153844E-3</v>
      </c>
      <c r="M1283">
        <f>0.0322200891692308*(0.3)</f>
        <v>9.6660267507692309E-3</v>
      </c>
      <c r="N1283">
        <f>0.0292909901538462*(0.3)</f>
        <v>8.7872970461538458E-3</v>
      </c>
    </row>
    <row r="1284" spans="1:14" x14ac:dyDescent="0.25">
      <c r="A1284">
        <f>-0.379925025*(0.3)</f>
        <v>-0.11397750750000001</v>
      </c>
      <c r="B1284">
        <f>0.0292250019230769*(0.3)</f>
        <v>8.7675005769230763E-3</v>
      </c>
      <c r="C1284">
        <f>0.0876750057692308*(0.3)</f>
        <v>2.6302501730769232E-2</v>
      </c>
      <c r="D1284">
        <f>0.0292250019230769*(0.3)</f>
        <v>8.7675005769230763E-3</v>
      </c>
      <c r="E1284">
        <f>0.0292250019230769*(0.3)</f>
        <v>8.7675005769230763E-3</v>
      </c>
      <c r="F1284">
        <f>0.0292250019230769*(0.3)</f>
        <v>8.7675005769230763E-3</v>
      </c>
      <c r="G1284">
        <f>0.0175350011538462*(0.3)</f>
        <v>5.2605003461538456E-3</v>
      </c>
      <c r="H1284">
        <f>0.0292250019230769*(0.3)</f>
        <v>8.7675005769230763E-3</v>
      </c>
      <c r="I1284">
        <f>0.0292250019230769*(0.3)</f>
        <v>8.7675005769230763E-3</v>
      </c>
      <c r="J1284">
        <f>-0.00584500038461538*(0.3)</f>
        <v>-1.7535001153846149E-3</v>
      </c>
      <c r="K1284">
        <f>0.0292250019230769*(0.3)</f>
        <v>8.7675005769230763E-3</v>
      </c>
      <c r="L1284">
        <f>0.0143202509423077*(0.3)</f>
        <v>4.2960752826923078E-3</v>
      </c>
      <c r="M1284">
        <f>0.0321475021153846*(0.3)</f>
        <v>9.6442506346153863E-3</v>
      </c>
      <c r="N1284">
        <f>0.0292250019230769*(0.3)</f>
        <v>8.7675005769230763E-3</v>
      </c>
    </row>
    <row r="1285" spans="1:14" x14ac:dyDescent="0.25">
      <c r="A1285">
        <f>-2.167479575*(0.3)</f>
        <v>-0.65024387250000004</v>
      </c>
      <c r="B1285">
        <f>0.166729198076923*(0.3)</f>
        <v>5.0018759423076931E-2</v>
      </c>
      <c r="C1285">
        <f>0.500187594230769*(0.3)</f>
        <v>0.15005627826923079</v>
      </c>
      <c r="D1285">
        <f>0.166729198076923*(0.3)</f>
        <v>5.0018759423076931E-2</v>
      </c>
      <c r="E1285">
        <f>0.166729198076923*(0.3)</f>
        <v>5.0018759423076931E-2</v>
      </c>
      <c r="F1285">
        <f>0.166729198076923*(0.3)</f>
        <v>5.0018759423076931E-2</v>
      </c>
      <c r="G1285">
        <f>0.100037518846154*(0.3)</f>
        <v>3.0011255653846158E-2</v>
      </c>
      <c r="H1285">
        <f>0.166729198076923*(0.3)</f>
        <v>5.0018759423076931E-2</v>
      </c>
      <c r="I1285">
        <f>0.166729198076923*(0.3)</f>
        <v>5.0018759423076931E-2</v>
      </c>
      <c r="J1285">
        <f>-0.0333458396153846*(0.3)</f>
        <v>-1.0003751884615384E-2</v>
      </c>
      <c r="K1285">
        <f>0.166729198076923*(0.3)</f>
        <v>5.0018759423076931E-2</v>
      </c>
      <c r="L1285">
        <f>0.0816973070576923*(0.3)</f>
        <v>2.4509192117307694E-2</v>
      </c>
      <c r="M1285">
        <f>0.183402117884615*(0.3)</f>
        <v>5.5020635365384631E-2</v>
      </c>
      <c r="N1285">
        <f>0.166729198076923*(0.3)</f>
        <v>5.0018759423076931E-2</v>
      </c>
    </row>
    <row r="1286" spans="1:14" x14ac:dyDescent="0.25">
      <c r="A1286">
        <f>-1.586994552*(0.3)</f>
        <v>-0.47609836559999996</v>
      </c>
      <c r="B1286">
        <f>0.122076504*(0.3)</f>
        <v>3.6622951199999997E-2</v>
      </c>
      <c r="C1286">
        <f>0.366229512*(0.3)</f>
        <v>0.1098688536</v>
      </c>
      <c r="D1286">
        <f>0.122076504*(0.3)</f>
        <v>3.6622951199999997E-2</v>
      </c>
      <c r="E1286">
        <f>0.122076504*(0.3)</f>
        <v>3.6622951199999997E-2</v>
      </c>
      <c r="F1286">
        <f>0.122076504*(0.3)</f>
        <v>3.6622951199999997E-2</v>
      </c>
      <c r="G1286">
        <f>0.0732459024*(0.3)</f>
        <v>2.1973770719999997E-2</v>
      </c>
      <c r="H1286">
        <f>0.122076504*(0.3)</f>
        <v>3.6622951199999997E-2</v>
      </c>
      <c r="I1286">
        <f>0.122076504*(0.3)</f>
        <v>3.6622951199999997E-2</v>
      </c>
      <c r="J1286">
        <f>-0.0244153008*(0.3)</f>
        <v>-7.3245902399999979E-3</v>
      </c>
      <c r="K1286">
        <f>0.122076504*(0.3)</f>
        <v>3.6622951199999997E-2</v>
      </c>
      <c r="L1286">
        <f>0.05981748696*(0.3)</f>
        <v>1.7945246087999998E-2</v>
      </c>
      <c r="M1286">
        <f>0.1342841544*(0.3)</f>
        <v>4.0285246320000002E-2</v>
      </c>
      <c r="N1286">
        <f>0.122076504*(0.3)</f>
        <v>3.6622951199999997E-2</v>
      </c>
    </row>
    <row r="1287" spans="1:14" x14ac:dyDescent="0.25">
      <c r="A1287">
        <f>-5.706605869*(0.3)</f>
        <v>-1.7119817606999999</v>
      </c>
      <c r="B1287">
        <f>0.438969682230769*(0.3)</f>
        <v>0.13169090466923075</v>
      </c>
      <c r="C1287">
        <f>1.31690904669231*(0.3)</f>
        <v>0.39507271400769228</v>
      </c>
      <c r="D1287">
        <f>0.438969682230769*(0.3)</f>
        <v>0.13169090466923075</v>
      </c>
      <c r="E1287">
        <f>0.438969682230769*(0.3)</f>
        <v>0.13169090466923075</v>
      </c>
      <c r="F1287">
        <f>0.438969682230769*(0.3)</f>
        <v>0.13169090466923075</v>
      </c>
      <c r="G1287">
        <f>0.263381809338462*(0.3)</f>
        <v>7.9014542801538454E-2</v>
      </c>
      <c r="H1287">
        <f>0.438969682230769*(0.3)</f>
        <v>0.13169090466923075</v>
      </c>
      <c r="I1287">
        <f>0.438969682230769*(0.3)</f>
        <v>0.13169090466923075</v>
      </c>
      <c r="J1287">
        <f>-0.0877939364461538*(0.3)</f>
        <v>-2.6338180933846145E-2</v>
      </c>
      <c r="K1287">
        <f>0.438969682230769*(0.3)</f>
        <v>0.13169090466923075</v>
      </c>
      <c r="L1287">
        <f>0.215095144293077*(0.3)</f>
        <v>6.4528543287923068E-2</v>
      </c>
      <c r="M1287">
        <f>0.482866650453846*(0.3)</f>
        <v>0.14485999513615386</v>
      </c>
      <c r="N1287">
        <f>0.438969682230769*(0.3)</f>
        <v>0.13169090466923075</v>
      </c>
    </row>
    <row r="1288" spans="1:14" x14ac:dyDescent="0.25">
      <c r="A1288">
        <f>1.038842408*(0.3)</f>
        <v>0.31165272240000003</v>
      </c>
      <c r="B1288">
        <f>-0.0799109544615385*(0.3)</f>
        <v>-2.397328633846154E-2</v>
      </c>
      <c r="C1288">
        <f>-0.239732863384615*(0.3)</f>
        <v>-7.1919859015384627E-2</v>
      </c>
      <c r="D1288">
        <f>-0.0799109544615385*(0.3)</f>
        <v>-2.397328633846154E-2</v>
      </c>
      <c r="E1288">
        <f>-0.0799109544615385*(0.3)</f>
        <v>-2.397328633846154E-2</v>
      </c>
      <c r="F1288">
        <f>-0.0799109544615385*(0.3)</f>
        <v>-2.397328633846154E-2</v>
      </c>
      <c r="G1288">
        <f>-0.0479465726769231*(0.3)</f>
        <v>-1.4383971803076923E-2</v>
      </c>
      <c r="H1288">
        <f>-0.0799109544615385*(0.3)</f>
        <v>-2.397328633846154E-2</v>
      </c>
      <c r="I1288">
        <f>-0.0799109544615385*(0.3)</f>
        <v>-2.397328633846154E-2</v>
      </c>
      <c r="J1288">
        <f>0.0159821908923077*(0.3)</f>
        <v>4.7946572676923066E-3</v>
      </c>
      <c r="K1288">
        <f>-0.0799109544615385*(0.3)</f>
        <v>-2.397328633846154E-2</v>
      </c>
      <c r="L1288">
        <f>-0.0391563676861538*(0.3)</f>
        <v>-1.1746910305846153E-2</v>
      </c>
      <c r="M1288">
        <f>-0.0879020499076923*(0.3)</f>
        <v>-2.6370614972307697E-2</v>
      </c>
      <c r="N1288">
        <f>-0.0799109544615385*(0.3)</f>
        <v>-2.397328633846154E-2</v>
      </c>
    </row>
    <row r="1289" spans="1:14" x14ac:dyDescent="0.25">
      <c r="A1289">
        <f>-5.406940156*(0.3)</f>
        <v>-1.6220820467999999</v>
      </c>
      <c r="B1289">
        <f>0.415918473538462*(0.3)</f>
        <v>0.12477554206153846</v>
      </c>
      <c r="C1289">
        <f>1.24775542061538*(0.3)</f>
        <v>0.37432662618461537</v>
      </c>
      <c r="D1289">
        <f>0.415918473538462*(0.3)</f>
        <v>0.12477554206153846</v>
      </c>
      <c r="E1289">
        <f>0.415918473538462*(0.3)</f>
        <v>0.12477554206153846</v>
      </c>
      <c r="F1289">
        <f>0.415918473538462*(0.3)</f>
        <v>0.12477554206153846</v>
      </c>
      <c r="G1289">
        <f>0.249551084123077*(0.3)</f>
        <v>7.4865325236923075E-2</v>
      </c>
      <c r="H1289">
        <f>0.415918473538462*(0.3)</f>
        <v>0.12477554206153846</v>
      </c>
      <c r="I1289">
        <f>0.415918473538462*(0.3)</f>
        <v>0.12477554206153846</v>
      </c>
      <c r="J1289">
        <f>-0.0831836947076923*(0.3)</f>
        <v>-2.4955108412307688E-2</v>
      </c>
      <c r="K1289">
        <f>0.415918473538462*(0.3)</f>
        <v>0.12477554206153846</v>
      </c>
      <c r="L1289">
        <f>0.203800052033846*(0.3)</f>
        <v>6.1140015610153843E-2</v>
      </c>
      <c r="M1289">
        <f>0.457510320892308*(0.3)</f>
        <v>0.13725309626769233</v>
      </c>
      <c r="N1289">
        <f>0.415918473538462*(0.3)</f>
        <v>0.12477554206153846</v>
      </c>
    </row>
    <row r="1290" spans="1:14" x14ac:dyDescent="0.25">
      <c r="A1290">
        <f>-0.855537848*(0.3)</f>
        <v>-0.25666135439999999</v>
      </c>
      <c r="B1290">
        <f>0.0658106036923077*(0.3)</f>
        <v>1.9743181107692308E-2</v>
      </c>
      <c r="C1290">
        <f>0.197431811076923*(0.3)</f>
        <v>5.9229543323076922E-2</v>
      </c>
      <c r="D1290">
        <f>0.0658106036923077*(0.3)</f>
        <v>1.9743181107692308E-2</v>
      </c>
      <c r="E1290">
        <f>0.0658106036923077*(0.3)</f>
        <v>1.9743181107692308E-2</v>
      </c>
      <c r="F1290">
        <f>0.0658106036923077*(0.3)</f>
        <v>1.9743181107692308E-2</v>
      </c>
      <c r="G1290">
        <f>0.0394863622153846*(0.3)</f>
        <v>1.1845908664615384E-2</v>
      </c>
      <c r="H1290">
        <f>0.0658106036923077*(0.3)</f>
        <v>1.9743181107692308E-2</v>
      </c>
      <c r="I1290">
        <f>0.0658106036923077*(0.3)</f>
        <v>1.9743181107692308E-2</v>
      </c>
      <c r="J1290">
        <f>-0.0131621207384615*(0.3)</f>
        <v>-3.9486362215384605E-3</v>
      </c>
      <c r="K1290">
        <f>0.0658106036923077*(0.3)</f>
        <v>1.9743181107692308E-2</v>
      </c>
      <c r="L1290">
        <f>0.0322471958092308*(0.3)</f>
        <v>9.6741587427692319E-3</v>
      </c>
      <c r="M1290">
        <f>0.0723916640615385*(0.3)</f>
        <v>2.1717499218461538E-2</v>
      </c>
      <c r="N1290">
        <f>0.0658106036923077*(0.3)</f>
        <v>1.9743181107692308E-2</v>
      </c>
    </row>
    <row r="1291" spans="1:14" x14ac:dyDescent="0.25">
      <c r="A1291">
        <f>-6.112883999*(0.3)</f>
        <v>-1.8338651996999999</v>
      </c>
      <c r="B1291">
        <f>0.470221846076923*(0.3)</f>
        <v>0.14106655382307692</v>
      </c>
      <c r="C1291">
        <f>1.41066553823077*(0.3)</f>
        <v>0.42319966146923071</v>
      </c>
      <c r="D1291">
        <f>0.470221846076923*(0.3)</f>
        <v>0.14106655382307692</v>
      </c>
      <c r="E1291">
        <f>0.470221846076923*(0.3)</f>
        <v>0.14106655382307692</v>
      </c>
      <c r="F1291">
        <f>0.470221846076923*(0.3)</f>
        <v>0.14106655382307692</v>
      </c>
      <c r="G1291">
        <f>0.282133107646154*(0.3)</f>
        <v>8.4639932293846157E-2</v>
      </c>
      <c r="H1291">
        <f>0.470221846076923*(0.3)</f>
        <v>0.14106655382307692</v>
      </c>
      <c r="I1291">
        <f>0.470221846076923*(0.3)</f>
        <v>0.14106655382307692</v>
      </c>
      <c r="J1291">
        <f>-0.0940443692153846*(0.3)</f>
        <v>-2.8213310764615376E-2</v>
      </c>
      <c r="K1291">
        <f>0.470221846076923*(0.3)</f>
        <v>0.14106655382307692</v>
      </c>
      <c r="L1291">
        <f>0.230408704577692*(0.3)</f>
        <v>6.9122611373307691E-2</v>
      </c>
      <c r="M1291">
        <f>0.517244030684615*(0.3)</f>
        <v>0.15517320920538463</v>
      </c>
      <c r="N1291">
        <f>0.470221846076923*(0.3)</f>
        <v>0.14106655382307692</v>
      </c>
    </row>
    <row r="1292" spans="1:14" x14ac:dyDescent="0.25">
      <c r="A1292">
        <f>2.261856912*(0.3)</f>
        <v>0.67855707359999995</v>
      </c>
      <c r="B1292">
        <f>-0.173988993230769*(0.3)</f>
        <v>-5.2196697969230765E-2</v>
      </c>
      <c r="C1292">
        <f>-0.521966979692308*(0.3)</f>
        <v>-0.1565900939076923</v>
      </c>
      <c r="D1292">
        <f>-0.173988993230769*(0.3)</f>
        <v>-5.2196697969230765E-2</v>
      </c>
      <c r="E1292">
        <f>-0.173988993230769*(0.3)</f>
        <v>-5.2196697969230765E-2</v>
      </c>
      <c r="F1292">
        <f>-0.173988993230769*(0.3)</f>
        <v>-5.2196697969230765E-2</v>
      </c>
      <c r="G1292">
        <f>-0.104393395938462*(0.3)</f>
        <v>-3.1318018781538455E-2</v>
      </c>
      <c r="H1292">
        <f>-0.173988993230769*(0.3)</f>
        <v>-5.2196697969230765E-2</v>
      </c>
      <c r="I1292">
        <f>-0.173988993230769*(0.3)</f>
        <v>-5.2196697969230765E-2</v>
      </c>
      <c r="J1292">
        <f>0.0347977986461538*(0.3)</f>
        <v>1.043933959384615E-2</v>
      </c>
      <c r="K1292">
        <f>-0.173988993230769*(0.3)</f>
        <v>-5.2196697969230765E-2</v>
      </c>
      <c r="L1292">
        <f>-0.0852546066830769*(0.3)</f>
        <v>-2.5576382004923074E-2</v>
      </c>
      <c r="M1292">
        <f>-0.191387892553846*(0.3)</f>
        <v>-5.7416367766153845E-2</v>
      </c>
      <c r="N1292">
        <f>-0.173988993230769*(0.3)</f>
        <v>-5.2196697969230765E-2</v>
      </c>
    </row>
    <row r="1293" spans="1:14" x14ac:dyDescent="0.25">
      <c r="A1293">
        <f>-7.655092297*(0.3)</f>
        <v>-2.2965276890999999</v>
      </c>
      <c r="B1293">
        <f>0.588853253615385*(0.3)</f>
        <v>0.17665597608461539</v>
      </c>
      <c r="C1293">
        <f>1.76655976084615*(0.3)</f>
        <v>0.5299679282538462</v>
      </c>
      <c r="D1293">
        <f>0.588853253615385*(0.3)</f>
        <v>0.17665597608461539</v>
      </c>
      <c r="E1293">
        <f>0.588853253615385*(0.3)</f>
        <v>0.17665597608461539</v>
      </c>
      <c r="F1293">
        <f>0.588853253615385*(0.3)</f>
        <v>0.17665597608461539</v>
      </c>
      <c r="G1293">
        <f>0.353311952169231*(0.3)</f>
        <v>0.10599358565076923</v>
      </c>
      <c r="H1293">
        <f>0.588853253615385*(0.3)</f>
        <v>0.17665597608461539</v>
      </c>
      <c r="I1293">
        <f>0.588853253615385*(0.3)</f>
        <v>0.17665597608461539</v>
      </c>
      <c r="J1293">
        <f>-0.117770650723077*(0.3)</f>
        <v>-3.5331195216923073E-2</v>
      </c>
      <c r="K1293">
        <f>0.588853253615385*(0.3)</f>
        <v>0.17665597608461539</v>
      </c>
      <c r="L1293">
        <f>0.288538094271538*(0.3)</f>
        <v>8.6561428281461544E-2</v>
      </c>
      <c r="M1293">
        <f>0.647738578976923*(0.3)</f>
        <v>0.19432157369307695</v>
      </c>
      <c r="N1293">
        <f>0.588853253615385*(0.3)</f>
        <v>0.17665597608461539</v>
      </c>
    </row>
    <row r="1294" spans="1:14" x14ac:dyDescent="0.25">
      <c r="A1294">
        <f>5.735297664*(0.3)</f>
        <v>1.7205892992</v>
      </c>
      <c r="B1294">
        <f>-0.441176743384615*(0.3)</f>
        <v>-0.1323530230153846</v>
      </c>
      <c r="C1294">
        <f>-1.32353023015385*(0.3)</f>
        <v>-0.39705906904615379</v>
      </c>
      <c r="D1294">
        <f>-0.441176743384615*(0.3)</f>
        <v>-0.1323530230153846</v>
      </c>
      <c r="E1294">
        <f>-0.441176743384615*(0.3)</f>
        <v>-0.1323530230153846</v>
      </c>
      <c r="F1294">
        <f>-0.441176743384615*(0.3)</f>
        <v>-0.1323530230153846</v>
      </c>
      <c r="G1294">
        <f>-0.264706046030769*(0.3)</f>
        <v>-7.941181380923075E-2</v>
      </c>
      <c r="H1294">
        <f>-0.441176743384615*(0.3)</f>
        <v>-0.1323530230153846</v>
      </c>
      <c r="I1294">
        <f>-0.441176743384615*(0.3)</f>
        <v>-0.1323530230153846</v>
      </c>
      <c r="J1294">
        <f>0.0882353486769231*(0.3)</f>
        <v>2.6470604603076913E-2</v>
      </c>
      <c r="K1294">
        <f>-0.441176743384615*(0.3)</f>
        <v>-0.1323530230153846</v>
      </c>
      <c r="L1294">
        <f>-0.216176604258462*(0.3)</f>
        <v>-6.4852981277538455E-2</v>
      </c>
      <c r="M1294">
        <f>-0.485294417723077*(0.3)</f>
        <v>-0.14558832531692309</v>
      </c>
      <c r="N1294">
        <f>-0.441176743384615*(0.3)</f>
        <v>-0.1323530230153846</v>
      </c>
    </row>
    <row r="1295" spans="1:14" x14ac:dyDescent="0.25">
      <c r="A1295">
        <f>-5.569856154*(0.3)</f>
        <v>-1.6709568462</v>
      </c>
      <c r="B1295">
        <f>0.428450473384615*(0.3)</f>
        <v>0.1285351420153846</v>
      </c>
      <c r="C1295">
        <f>1.28535142015385*(0.3)</f>
        <v>0.38560542604615389</v>
      </c>
      <c r="D1295">
        <f>0.428450473384615*(0.3)</f>
        <v>0.1285351420153846</v>
      </c>
      <c r="E1295">
        <f>0.428450473384615*(0.3)</f>
        <v>0.1285351420153846</v>
      </c>
      <c r="F1295">
        <f>0.428450473384615*(0.3)</f>
        <v>0.1285351420153846</v>
      </c>
      <c r="G1295">
        <f>0.257070284030769*(0.3)</f>
        <v>7.7121085209230764E-2</v>
      </c>
      <c r="H1295">
        <f>0.428450473384615*(0.3)</f>
        <v>0.1285351420153846</v>
      </c>
      <c r="I1295">
        <f>0.428450473384615*(0.3)</f>
        <v>0.1285351420153846</v>
      </c>
      <c r="J1295">
        <f>-0.0856900946769231*(0.3)</f>
        <v>-2.5707028403076915E-2</v>
      </c>
      <c r="K1295">
        <f>0.428450473384615*(0.3)</f>
        <v>0.1285351420153846</v>
      </c>
      <c r="L1295">
        <f>0.209940731958462*(0.3)</f>
        <v>6.2982219587538468E-2</v>
      </c>
      <c r="M1295">
        <f>0.471295520723077*(0.3)</f>
        <v>0.14138865621692309</v>
      </c>
      <c r="N1295">
        <f>0.428450473384615*(0.3)</f>
        <v>0.1285351420153846</v>
      </c>
    </row>
    <row r="1296" spans="1:14" x14ac:dyDescent="0.25">
      <c r="A1296">
        <f>-0.100953025*(0.3)</f>
        <v>-3.0285907500000001E-2</v>
      </c>
      <c r="B1296">
        <f>0.00776561730769231*(0.3)</f>
        <v>2.3296851923076925E-3</v>
      </c>
      <c r="C1296">
        <f>0.0232968519230769*(0.3)</f>
        <v>6.9890555769230771E-3</v>
      </c>
      <c r="D1296">
        <f>0.00776561730769231*(0.3)</f>
        <v>2.3296851923076925E-3</v>
      </c>
      <c r="E1296">
        <f>0.00776561730769231*(0.3)</f>
        <v>2.3296851923076925E-3</v>
      </c>
      <c r="F1296">
        <f>0.00776561730769231*(0.3)</f>
        <v>2.3296851923076925E-3</v>
      </c>
      <c r="G1296">
        <f>0.00465937038461539*(0.3)</f>
        <v>1.3978111153846154E-3</v>
      </c>
      <c r="H1296">
        <f>0.00776561730769231*(0.3)</f>
        <v>2.3296851923076925E-3</v>
      </c>
      <c r="I1296">
        <f>0.00776561730769231*(0.3)</f>
        <v>2.3296851923076925E-3</v>
      </c>
      <c r="J1296">
        <f>-0.00155312346153846*(0.3)</f>
        <v>-4.6593703846153835E-4</v>
      </c>
      <c r="K1296">
        <f>0.00776561730769231*(0.3)</f>
        <v>2.3296851923076925E-3</v>
      </c>
      <c r="L1296">
        <f>0.00380515248076923*(0.3)</f>
        <v>1.1415457442307691E-3</v>
      </c>
      <c r="M1296">
        <f>0.00854217903846154*(0.3)</f>
        <v>2.5626537115384621E-3</v>
      </c>
      <c r="N1296">
        <f>0.00776561730769231*(0.3)</f>
        <v>2.3296851923076925E-3</v>
      </c>
    </row>
    <row r="1297" spans="1:14" x14ac:dyDescent="0.25">
      <c r="A1297">
        <f>-0.940128633*(0.3)</f>
        <v>-0.28203858990000003</v>
      </c>
      <c r="B1297">
        <f>0.0723175871538462*(0.3)</f>
        <v>2.1695276146153849E-2</v>
      </c>
      <c r="C1297">
        <f>0.216952761461538*(0.3)</f>
        <v>6.5085828438461543E-2</v>
      </c>
      <c r="D1297">
        <f>0.0723175871538462*(0.3)</f>
        <v>2.1695276146153849E-2</v>
      </c>
      <c r="E1297">
        <f>0.0723175871538462*(0.3)</f>
        <v>2.1695276146153849E-2</v>
      </c>
      <c r="F1297">
        <f>0.0723175871538462*(0.3)</f>
        <v>2.1695276146153849E-2</v>
      </c>
      <c r="G1297">
        <f>0.0433905522923077*(0.3)</f>
        <v>1.3017165687692308E-2</v>
      </c>
      <c r="H1297">
        <f>0.0723175871538462*(0.3)</f>
        <v>2.1695276146153849E-2</v>
      </c>
      <c r="I1297">
        <f>0.0723175871538462*(0.3)</f>
        <v>2.1695276146153849E-2</v>
      </c>
      <c r="J1297">
        <f>-0.0144635174307692*(0.3)</f>
        <v>-4.3390552292307686E-3</v>
      </c>
      <c r="K1297">
        <f>0.0723175871538462*(0.3)</f>
        <v>2.1695276146153849E-2</v>
      </c>
      <c r="L1297">
        <f>0.0354356177053846*(0.3)</f>
        <v>1.0630685311615385E-2</v>
      </c>
      <c r="M1297">
        <f>0.0795493458692308*(0.3)</f>
        <v>2.3864803760769233E-2</v>
      </c>
      <c r="N1297">
        <f>0.0723175871538462*(0.3)</f>
        <v>2.1695276146153849E-2</v>
      </c>
    </row>
    <row r="1298" spans="1:14" x14ac:dyDescent="0.25">
      <c r="A1298">
        <f>-1.47639552*(0.3)</f>
        <v>-0.44291865600000002</v>
      </c>
      <c r="B1298">
        <f>0.113568886153846*(0.3)</f>
        <v>3.4070665846153848E-2</v>
      </c>
      <c r="C1298">
        <f>0.340706658461538*(0.3)</f>
        <v>0.10221199753846154</v>
      </c>
      <c r="D1298">
        <f>0.113568886153846*(0.3)</f>
        <v>3.4070665846153848E-2</v>
      </c>
      <c r="E1298">
        <f>0.113568886153846*(0.3)</f>
        <v>3.4070665846153848E-2</v>
      </c>
      <c r="F1298">
        <f>0.113568886153846*(0.3)</f>
        <v>3.4070665846153848E-2</v>
      </c>
      <c r="G1298">
        <f>0.0681413316923077*(0.3)</f>
        <v>2.0442399507692308E-2</v>
      </c>
      <c r="H1298">
        <f>0.113568886153846*(0.3)</f>
        <v>3.4070665846153848E-2</v>
      </c>
      <c r="I1298">
        <f>0.113568886153846*(0.3)</f>
        <v>3.4070665846153848E-2</v>
      </c>
      <c r="J1298">
        <f>-0.0227137772307692*(0.3)</f>
        <v>-6.8141331692307683E-3</v>
      </c>
      <c r="K1298">
        <f>0.113568886153846*(0.3)</f>
        <v>3.4070665846153848E-2</v>
      </c>
      <c r="L1298">
        <f>0.0556487542153846*(0.3)</f>
        <v>1.6694626264615386E-2</v>
      </c>
      <c r="M1298">
        <f>0.124925774769231*(0.3)</f>
        <v>3.7477732430769239E-2</v>
      </c>
      <c r="N1298">
        <f>0.113568886153846*(0.3)</f>
        <v>3.4070665846153848E-2</v>
      </c>
    </row>
    <row r="1299" spans="1:14" x14ac:dyDescent="0.25">
      <c r="A1299">
        <f>-7.124358869*(0.3)</f>
        <v>-2.1373076606999999</v>
      </c>
      <c r="B1299">
        <f>0.548027605307692*(0.3)</f>
        <v>0.16440828159230769</v>
      </c>
      <c r="C1299">
        <f>1.64408281592308*(0.3)</f>
        <v>0.49322484477692313</v>
      </c>
      <c r="D1299">
        <f>0.548027605307692*(0.3)</f>
        <v>0.16440828159230769</v>
      </c>
      <c r="E1299">
        <f>0.548027605307692*(0.3)</f>
        <v>0.16440828159230769</v>
      </c>
      <c r="F1299">
        <f>0.548027605307692*(0.3)</f>
        <v>0.16440828159230769</v>
      </c>
      <c r="G1299">
        <f>0.328816563184615*(0.3)</f>
        <v>9.8644968955384618E-2</v>
      </c>
      <c r="H1299">
        <f>0.548027605307692*(0.3)</f>
        <v>0.16440828159230769</v>
      </c>
      <c r="I1299">
        <f>0.548027605307692*(0.3)</f>
        <v>0.16440828159230769</v>
      </c>
      <c r="J1299">
        <f>-0.109605521061538*(0.3)</f>
        <v>-3.288165631846153E-2</v>
      </c>
      <c r="K1299">
        <f>0.548027605307692*(0.3)</f>
        <v>0.16440828159230769</v>
      </c>
      <c r="L1299">
        <f>0.268533526600769*(0.3)</f>
        <v>8.0560057980230762E-2</v>
      </c>
      <c r="M1299">
        <f>0.602830365838462*(0.3)</f>
        <v>0.18084910975153848</v>
      </c>
      <c r="N1299">
        <f>0.548027605307692*(0.3)</f>
        <v>0.16440828159230769</v>
      </c>
    </row>
    <row r="1300" spans="1:14" x14ac:dyDescent="0.25">
      <c r="A1300">
        <f>2.337363868*(0.3)</f>
        <v>0.70120916040000003</v>
      </c>
      <c r="B1300">
        <f>-0.179797220615385*(0.3)</f>
        <v>-5.3939166184615389E-2</v>
      </c>
      <c r="C1300">
        <f>-0.539391661846154*(0.3)</f>
        <v>-0.16181749855384617</v>
      </c>
      <c r="D1300">
        <f>-0.179797220615385*(0.3)</f>
        <v>-5.3939166184615389E-2</v>
      </c>
      <c r="E1300">
        <f>-0.179797220615385*(0.3)</f>
        <v>-5.3939166184615389E-2</v>
      </c>
      <c r="F1300">
        <f>-0.179797220615385*(0.3)</f>
        <v>-5.3939166184615389E-2</v>
      </c>
      <c r="G1300">
        <f>-0.107878332369231*(0.3)</f>
        <v>-3.2363499710769232E-2</v>
      </c>
      <c r="H1300">
        <f>-0.179797220615385*(0.3)</f>
        <v>-5.3939166184615389E-2</v>
      </c>
      <c r="I1300">
        <f>-0.179797220615385*(0.3)</f>
        <v>-5.3939166184615389E-2</v>
      </c>
      <c r="J1300">
        <f>0.0359594441230769*(0.3)</f>
        <v>1.0787833236923075E-2</v>
      </c>
      <c r="K1300">
        <f>-0.179797220615385*(0.3)</f>
        <v>-5.3939166184615389E-2</v>
      </c>
      <c r="L1300">
        <f>-0.0881006381015385*(0.3)</f>
        <v>-2.643019143046154E-2</v>
      </c>
      <c r="M1300">
        <f>-0.197776942676923*(0.3)</f>
        <v>-5.9333082803076934E-2</v>
      </c>
      <c r="N1300">
        <f>-0.179797220615385*(0.3)</f>
        <v>-5.3939166184615389E-2</v>
      </c>
    </row>
    <row r="1301" spans="1:14" x14ac:dyDescent="0.25">
      <c r="A1301">
        <f>-5.338537077*(0.3)</f>
        <v>-1.6015611231</v>
      </c>
      <c r="B1301">
        <f>0.410656698230769*(0.3)</f>
        <v>0.12319700946923076</v>
      </c>
      <c r="C1301">
        <f>1.23197009469231*(0.3)</f>
        <v>0.36959102840769231</v>
      </c>
      <c r="D1301">
        <f>0.410656698230769*(0.3)</f>
        <v>0.12319700946923076</v>
      </c>
      <c r="E1301">
        <f>0.410656698230769*(0.3)</f>
        <v>0.12319700946923076</v>
      </c>
      <c r="F1301">
        <f>0.410656698230769*(0.3)</f>
        <v>0.12319700946923076</v>
      </c>
      <c r="G1301">
        <f>0.246394018938462*(0.3)</f>
        <v>7.3918205681538451E-2</v>
      </c>
      <c r="H1301">
        <f>0.410656698230769*(0.3)</f>
        <v>0.12319700946923076</v>
      </c>
      <c r="I1301">
        <f>0.410656698230769*(0.3)</f>
        <v>0.12319700946923076</v>
      </c>
      <c r="J1301">
        <f>-0.0821313396461538*(0.3)</f>
        <v>-2.4639401893846145E-2</v>
      </c>
      <c r="K1301">
        <f>0.410656698230769*(0.3)</f>
        <v>0.12319700946923076</v>
      </c>
      <c r="L1301">
        <f>0.201221782133077*(0.3)</f>
        <v>6.0366534639923072E-2</v>
      </c>
      <c r="M1301">
        <f>0.451722368053846*(0.3)</f>
        <v>0.13551671041615385</v>
      </c>
      <c r="N1301">
        <f>0.410656698230769*(0.3)</f>
        <v>0.12319700946923076</v>
      </c>
    </row>
    <row r="1302" spans="1:14" x14ac:dyDescent="0.25">
      <c r="A1302">
        <f>-0.843979849*(0.3)</f>
        <v>-0.2531939547</v>
      </c>
      <c r="B1302">
        <f>0.0649215268461538*(0.3)</f>
        <v>1.9476458053846155E-2</v>
      </c>
      <c r="C1302">
        <f>0.194764580538462*(0.3)</f>
        <v>5.8429374161538462E-2</v>
      </c>
      <c r="D1302">
        <f>0.0649215268461538*(0.3)</f>
        <v>1.9476458053846155E-2</v>
      </c>
      <c r="E1302">
        <f>0.0649215268461538*(0.3)</f>
        <v>1.9476458053846155E-2</v>
      </c>
      <c r="F1302">
        <f>0.0649215268461538*(0.3)</f>
        <v>1.9476458053846155E-2</v>
      </c>
      <c r="G1302">
        <f>0.0389529161076923*(0.3)</f>
        <v>1.1685874832307692E-2</v>
      </c>
      <c r="H1302">
        <f>0.0649215268461538*(0.3)</f>
        <v>1.9476458053846155E-2</v>
      </c>
      <c r="I1302">
        <f>0.0649215268461538*(0.3)</f>
        <v>1.9476458053846155E-2</v>
      </c>
      <c r="J1302">
        <f>-0.0129843053692308*(0.3)</f>
        <v>-3.8952916107692298E-3</v>
      </c>
      <c r="K1302">
        <f>0.0649215268461538*(0.3)</f>
        <v>1.9476458053846155E-2</v>
      </c>
      <c r="L1302">
        <f>0.0318115481546154*(0.3)</f>
        <v>9.5434644463846148E-3</v>
      </c>
      <c r="M1302">
        <f>0.0714136795307692*(0.3)</f>
        <v>2.1424103859230773E-2</v>
      </c>
      <c r="N1302">
        <f>0.0649215268461538*(0.3)</f>
        <v>1.9476458053846155E-2</v>
      </c>
    </row>
    <row r="1303" spans="1:14" x14ac:dyDescent="0.25">
      <c r="A1303">
        <f>-7.445710758*(0.3)</f>
        <v>-2.2337132274</v>
      </c>
      <c r="B1303">
        <f>0.572746981384615*(0.3)</f>
        <v>0.1718240944153846</v>
      </c>
      <c r="C1303">
        <f>1.71824094415385*(0.3)</f>
        <v>0.5154722832461538</v>
      </c>
      <c r="D1303">
        <f>0.572746981384615*(0.3)</f>
        <v>0.1718240944153846</v>
      </c>
      <c r="E1303">
        <f>0.572746981384615*(0.3)</f>
        <v>0.1718240944153846</v>
      </c>
      <c r="F1303">
        <f>0.572746981384615*(0.3)</f>
        <v>0.1718240944153846</v>
      </c>
      <c r="G1303">
        <f>0.343648188830769*(0.3)</f>
        <v>0.10309445664923075</v>
      </c>
      <c r="H1303">
        <f>0.572746981384615*(0.3)</f>
        <v>0.1718240944153846</v>
      </c>
      <c r="I1303">
        <f>0.572746981384615*(0.3)</f>
        <v>0.1718240944153846</v>
      </c>
      <c r="J1303">
        <f>-0.114549396276923*(0.3)</f>
        <v>-3.4364818883076909E-2</v>
      </c>
      <c r="K1303">
        <f>0.572746981384615*(0.3)</f>
        <v>0.1718240944153846</v>
      </c>
      <c r="L1303">
        <f>0.280646020878462*(0.3)</f>
        <v>8.4193806263538451E-2</v>
      </c>
      <c r="M1303">
        <f>0.630021679523077*(0.3)</f>
        <v>0.18900650385692305</v>
      </c>
      <c r="N1303">
        <f>0.572746981384615*(0.3)</f>
        <v>0.1718240944153846</v>
      </c>
    </row>
    <row r="1304" spans="1:14" x14ac:dyDescent="0.25">
      <c r="A1304">
        <f>2.168691945*(0.3)</f>
        <v>0.65060758349999992</v>
      </c>
      <c r="B1304">
        <f>-0.166822457307692*(0.3)</f>
        <v>-5.0046737192307685E-2</v>
      </c>
      <c r="C1304">
        <f>-0.500467371923077*(0.3)</f>
        <v>-0.15014021157692306</v>
      </c>
      <c r="D1304">
        <f>-0.166822457307692*(0.3)</f>
        <v>-5.0046737192307685E-2</v>
      </c>
      <c r="E1304">
        <f>-0.166822457307692*(0.3)</f>
        <v>-5.0046737192307685E-2</v>
      </c>
      <c r="F1304">
        <f>-0.166822457307692*(0.3)</f>
        <v>-5.0046737192307685E-2</v>
      </c>
      <c r="G1304">
        <f>-0.100093474384615*(0.3)</f>
        <v>-3.0028042315384609E-2</v>
      </c>
      <c r="H1304">
        <f>-0.166822457307692*(0.3)</f>
        <v>-5.0046737192307685E-2</v>
      </c>
      <c r="I1304">
        <f>-0.166822457307692*(0.3)</f>
        <v>-5.0046737192307685E-2</v>
      </c>
      <c r="J1304">
        <f>0.0333644914615384*(0.3)</f>
        <v>1.0009347438461534E-2</v>
      </c>
      <c r="K1304">
        <f>-0.166822457307692*(0.3)</f>
        <v>-5.0046737192307685E-2</v>
      </c>
      <c r="L1304">
        <f>-0.0817430040807692*(0.3)</f>
        <v>-2.4522901224230766E-2</v>
      </c>
      <c r="M1304">
        <f>-0.183504703038462*(0.3)</f>
        <v>-5.5051410911538458E-2</v>
      </c>
      <c r="N1304">
        <f>-0.166822457307692*(0.3)</f>
        <v>-5.0046737192307685E-2</v>
      </c>
    </row>
    <row r="1305" spans="1:14" x14ac:dyDescent="0.25">
      <c r="A1305">
        <f>-8.436503763*(0.3)</f>
        <v>-2.5309511288999995</v>
      </c>
      <c r="B1305">
        <f>0.648961827923077*(0.3)</f>
        <v>0.19468854837692307</v>
      </c>
      <c r="C1305">
        <f>1.94688548376923*(0.3)</f>
        <v>0.5840656451307692</v>
      </c>
      <c r="D1305">
        <f>0.648961827923077*(0.3)</f>
        <v>0.19468854837692307</v>
      </c>
      <c r="E1305">
        <f>0.648961827923077*(0.3)</f>
        <v>0.19468854837692307</v>
      </c>
      <c r="F1305">
        <f>0.648961827923077*(0.3)</f>
        <v>0.19468854837692307</v>
      </c>
      <c r="G1305">
        <f>0.389377096753846*(0.3)</f>
        <v>0.11681312902615383</v>
      </c>
      <c r="H1305">
        <f>0.648961827923077*(0.3)</f>
        <v>0.19468854837692307</v>
      </c>
      <c r="I1305">
        <f>0.648961827923077*(0.3)</f>
        <v>0.19468854837692307</v>
      </c>
      <c r="J1305">
        <f>-0.129792365584615*(0.3)</f>
        <v>-3.8937709675384603E-2</v>
      </c>
      <c r="K1305">
        <f>0.648961827923077*(0.3)</f>
        <v>0.19468854837692307</v>
      </c>
      <c r="L1305">
        <f>0.317991295682308*(0.3)</f>
        <v>9.539738870469229E-2</v>
      </c>
      <c r="M1305">
        <f>0.713858010715385*(0.3)</f>
        <v>0.2141574032146154</v>
      </c>
      <c r="N1305">
        <f>0.648961827923077*(0.3)</f>
        <v>0.19468854837692307</v>
      </c>
    </row>
    <row r="1306" spans="1:14" x14ac:dyDescent="0.25">
      <c r="A1306">
        <f>-2.150504356*(0.3)</f>
        <v>-0.64515130679999999</v>
      </c>
      <c r="B1306">
        <f>0.165423412*(0.3)</f>
        <v>4.9627023599999993E-2</v>
      </c>
      <c r="C1306">
        <f>0.496270236*(0.3)</f>
        <v>0.14888107079999999</v>
      </c>
      <c r="D1306">
        <f>0.165423412*(0.3)</f>
        <v>4.9627023599999993E-2</v>
      </c>
      <c r="E1306">
        <f>0.165423412*(0.3)</f>
        <v>4.9627023599999993E-2</v>
      </c>
      <c r="F1306">
        <f>0.165423412*(0.3)</f>
        <v>4.9627023599999993E-2</v>
      </c>
      <c r="G1306">
        <f>0.0992540472*(0.3)</f>
        <v>2.9776214159999995E-2</v>
      </c>
      <c r="H1306">
        <f>0.165423412*(0.3)</f>
        <v>4.9627023599999993E-2</v>
      </c>
      <c r="I1306">
        <f>0.165423412*(0.3)</f>
        <v>4.9627023599999993E-2</v>
      </c>
      <c r="J1306">
        <f>-0.0330846824*(0.3)</f>
        <v>-9.9254047199999959E-3</v>
      </c>
      <c r="K1306">
        <f>0.165423412*(0.3)</f>
        <v>4.9627023599999993E-2</v>
      </c>
      <c r="L1306">
        <f>0.08105747188*(0.3)</f>
        <v>2.4317241563999999E-2</v>
      </c>
      <c r="M1306">
        <f>0.1819657532*(0.3)</f>
        <v>5.4589725959999995E-2</v>
      </c>
      <c r="N1306">
        <f>0.165423412*(0.3)</f>
        <v>4.9627023599999993E-2</v>
      </c>
    </row>
    <row r="1307" spans="1:14" x14ac:dyDescent="0.25">
      <c r="A1307">
        <f>-11.27511299*(0.3)</f>
        <v>-3.3825338970000001</v>
      </c>
      <c r="B1307">
        <f>0.867316383846154*(0.3)</f>
        <v>0.26019491515384613</v>
      </c>
      <c r="C1307">
        <f>2.60194915153846*(0.3)</f>
        <v>0.78058474546153844</v>
      </c>
      <c r="D1307">
        <f>0.867316383846154*(0.3)</f>
        <v>0.26019491515384613</v>
      </c>
      <c r="E1307">
        <f>0.867316383846154*(0.3)</f>
        <v>0.26019491515384613</v>
      </c>
      <c r="F1307">
        <f>0.867316383846154*(0.3)</f>
        <v>0.26019491515384613</v>
      </c>
      <c r="G1307">
        <f>0.520389830307692*(0.3)</f>
        <v>0.15611694909230767</v>
      </c>
      <c r="H1307">
        <f>0.867316383846154*(0.3)</f>
        <v>0.26019491515384613</v>
      </c>
      <c r="I1307">
        <f>0.867316383846154*(0.3)</f>
        <v>0.26019491515384613</v>
      </c>
      <c r="J1307">
        <f>-0.173463276769231*(0.3)</f>
        <v>-5.2038983030769217E-2</v>
      </c>
      <c r="K1307">
        <f>0.867316383846154*(0.3)</f>
        <v>0.26019491515384613</v>
      </c>
      <c r="L1307">
        <f>0.424985028084615*(0.3)</f>
        <v>0.1274955084253846</v>
      </c>
      <c r="M1307">
        <f>0.954048022230769*(0.3)</f>
        <v>0.28621440666923081</v>
      </c>
      <c r="N1307">
        <f>0.867316383846154*(0.3)</f>
        <v>0.26019491515384613</v>
      </c>
    </row>
    <row r="1308" spans="1:14" x14ac:dyDescent="0.25">
      <c r="A1308">
        <f>-0.621367182*(0.3)</f>
        <v>-0.18641015459999999</v>
      </c>
      <c r="B1308">
        <f>0.0477974755384615*(0.3)</f>
        <v>1.4339242661538461E-2</v>
      </c>
      <c r="C1308">
        <f>0.143392426615385*(0.3)</f>
        <v>4.3017727984615388E-2</v>
      </c>
      <c r="D1308">
        <f>0.0477974755384615*(0.3)</f>
        <v>1.4339242661538461E-2</v>
      </c>
      <c r="E1308">
        <f>0.0477974755384615*(0.3)</f>
        <v>1.4339242661538461E-2</v>
      </c>
      <c r="F1308">
        <f>0.0477974755384615*(0.3)</f>
        <v>1.4339242661538461E-2</v>
      </c>
      <c r="G1308">
        <f>0.0286784853230769*(0.3)</f>
        <v>8.6035455969230758E-3</v>
      </c>
      <c r="H1308">
        <f>0.0477974755384615*(0.3)</f>
        <v>1.4339242661538461E-2</v>
      </c>
      <c r="I1308">
        <f>0.0477974755384615*(0.3)</f>
        <v>1.4339242661538461E-2</v>
      </c>
      <c r="J1308">
        <f>-0.00955949510769231*(0.3)</f>
        <v>-2.8678485323076915E-3</v>
      </c>
      <c r="K1308">
        <f>0.0477974755384615*(0.3)</f>
        <v>1.4339242661538461E-2</v>
      </c>
      <c r="L1308">
        <f>0.0234207630138462*(0.3)</f>
        <v>7.0262289041538462E-3</v>
      </c>
      <c r="M1308">
        <f>0.0525772230923077*(0.3)</f>
        <v>1.5773166927692307E-2</v>
      </c>
      <c r="N1308">
        <f>0.0477974755384615*(0.3)</f>
        <v>1.4339242661538461E-2</v>
      </c>
    </row>
    <row r="1309" spans="1:14" x14ac:dyDescent="0.25">
      <c r="A1309">
        <f>-14.12437821*(0.3)</f>
        <v>-4.2373134629999996</v>
      </c>
      <c r="B1309">
        <f>1.08649063153846*(0.3)</f>
        <v>0.32594718946153844</v>
      </c>
      <c r="C1309">
        <f>3.25947189461538*(0.3)</f>
        <v>0.97784156838461533</v>
      </c>
      <c r="D1309">
        <f>1.08649063153846*(0.3)</f>
        <v>0.32594718946153844</v>
      </c>
      <c r="E1309">
        <f>1.08649063153846*(0.3)</f>
        <v>0.32594718946153844</v>
      </c>
      <c r="F1309">
        <f>1.08649063153846*(0.3)</f>
        <v>0.32594718946153844</v>
      </c>
      <c r="G1309">
        <f>0.651894378923077*(0.3)</f>
        <v>0.19556831367692307</v>
      </c>
      <c r="H1309">
        <f>1.08649063153846*(0.3)</f>
        <v>0.32594718946153844</v>
      </c>
      <c r="I1309">
        <f>1.08649063153846*(0.3)</f>
        <v>0.32594718946153844</v>
      </c>
      <c r="J1309">
        <f>-0.217298126307692*(0.3)</f>
        <v>-6.5189437892307675E-2</v>
      </c>
      <c r="K1309">
        <f>1.08649063153846*(0.3)</f>
        <v>0.32594718946153844</v>
      </c>
      <c r="L1309">
        <f>0.532380409453846*(0.3)</f>
        <v>0.15971412283615383</v>
      </c>
      <c r="M1309">
        <f>1.19513969469231*(0.3)</f>
        <v>0.35854190840769229</v>
      </c>
      <c r="N1309">
        <f>1.08649063153846*(0.3)</f>
        <v>0.32594718946153844</v>
      </c>
    </row>
    <row r="1310" spans="1:14" x14ac:dyDescent="0.25">
      <c r="A1310">
        <f>1.600915199*(0.3)</f>
        <v>0.48027455969999994</v>
      </c>
      <c r="B1310">
        <f>-0.123147323*(0.3)</f>
        <v>-3.6944196899999997E-2</v>
      </c>
      <c r="C1310">
        <f>-0.369441969*(0.3)</f>
        <v>-0.1108325907</v>
      </c>
      <c r="D1310">
        <f>-0.123147323*(0.3)</f>
        <v>-3.6944196899999997E-2</v>
      </c>
      <c r="E1310">
        <f>-0.123147323*(0.3)</f>
        <v>-3.6944196899999997E-2</v>
      </c>
      <c r="F1310">
        <f>-0.123147323*(0.3)</f>
        <v>-3.6944196899999997E-2</v>
      </c>
      <c r="G1310">
        <f>-0.0738883938*(0.3)</f>
        <v>-2.2166518139999997E-2</v>
      </c>
      <c r="H1310">
        <f>-0.123147323*(0.3)</f>
        <v>-3.6944196899999997E-2</v>
      </c>
      <c r="I1310">
        <f>-0.123147323*(0.3)</f>
        <v>-3.6944196899999997E-2</v>
      </c>
      <c r="J1310">
        <f>0.0246294646*(0.3)</f>
        <v>7.3888393799999971E-3</v>
      </c>
      <c r="K1310">
        <f>-0.123147323*(0.3)</f>
        <v>-3.6944196899999997E-2</v>
      </c>
      <c r="L1310">
        <f>-0.06034218827*(0.3)</f>
        <v>-1.8102656480999998E-2</v>
      </c>
      <c r="M1310">
        <f>-0.1354620553*(0.3)</f>
        <v>-4.0638616589999996E-2</v>
      </c>
      <c r="N1310">
        <f>-0.123147323*(0.3)</f>
        <v>-3.6944196899999997E-2</v>
      </c>
    </row>
    <row r="1311" spans="1:14" x14ac:dyDescent="0.25">
      <c r="A1311">
        <f>-14.38709999*(0.3)</f>
        <v>-4.316129997</v>
      </c>
      <c r="B1311">
        <f>1.10669999923077*(0.3)</f>
        <v>0.33200999976923073</v>
      </c>
      <c r="C1311">
        <f>3.32009999769231*(0.3)</f>
        <v>0.9960299993076922</v>
      </c>
      <c r="D1311">
        <f>1.10669999923077*(0.3)</f>
        <v>0.33200999976923073</v>
      </c>
      <c r="E1311">
        <f>1.10669999923077*(0.3)</f>
        <v>0.33200999976923073</v>
      </c>
      <c r="F1311">
        <f>1.10669999923077*(0.3)</f>
        <v>0.33200999976923073</v>
      </c>
      <c r="G1311">
        <f>0.664019999538461*(0.3)</f>
        <v>0.19920599986153845</v>
      </c>
      <c r="H1311">
        <f>1.10669999923077*(0.3)</f>
        <v>0.33200999976923073</v>
      </c>
      <c r="I1311">
        <f>1.10669999923077*(0.3)</f>
        <v>0.33200999976923073</v>
      </c>
      <c r="J1311">
        <f>-0.221339999846154*(0.3)</f>
        <v>-6.640199995384613E-2</v>
      </c>
      <c r="K1311">
        <f>1.10669999923077*(0.3)</f>
        <v>0.33200999976923073</v>
      </c>
      <c r="L1311">
        <f>0.542282999623077*(0.3)</f>
        <v>0.16268489988692306</v>
      </c>
      <c r="M1311">
        <f>1.21736999915385*(0.3)</f>
        <v>0.36521099974615379</v>
      </c>
      <c r="N1311">
        <f>1.10669999923077*(0.3)</f>
        <v>0.33200999976923073</v>
      </c>
    </row>
    <row r="1312" spans="1:14" x14ac:dyDescent="0.25">
      <c r="A1312">
        <f>1.057142597*(0.3)</f>
        <v>0.31714277909999994</v>
      </c>
      <c r="B1312">
        <f>-0.0813186613076923*(0.3)</f>
        <v>-2.4395598392307691E-2</v>
      </c>
      <c r="C1312">
        <f>-0.243955983923077*(0.3)</f>
        <v>-7.3186795176923072E-2</v>
      </c>
      <c r="D1312">
        <f>-0.0813186613076923*(0.3)</f>
        <v>-2.4395598392307691E-2</v>
      </c>
      <c r="E1312">
        <f>-0.0813186613076923*(0.3)</f>
        <v>-2.4395598392307691E-2</v>
      </c>
      <c r="F1312">
        <f>-0.0813186613076923*(0.3)</f>
        <v>-2.4395598392307691E-2</v>
      </c>
      <c r="G1312">
        <f>-0.0487911967846154*(0.3)</f>
        <v>-1.4637359035384614E-2</v>
      </c>
      <c r="H1312">
        <f>-0.0813186613076923*(0.3)</f>
        <v>-2.4395598392307691E-2</v>
      </c>
      <c r="I1312">
        <f>-0.0813186613076923*(0.3)</f>
        <v>-2.4395598392307691E-2</v>
      </c>
      <c r="J1312">
        <f>0.0162637322615385*(0.3)</f>
        <v>4.8791196784615373E-3</v>
      </c>
      <c r="K1312">
        <f>-0.0813186613076923*(0.3)</f>
        <v>-2.4395598392307691E-2</v>
      </c>
      <c r="L1312">
        <f>-0.0398461440407692*(0.3)</f>
        <v>-1.1953843212230768E-2</v>
      </c>
      <c r="M1312">
        <f>-0.0894505274384615*(0.3)</f>
        <v>-2.6835158231538463E-2</v>
      </c>
      <c r="N1312">
        <f>-0.0813186613076923*(0.3)</f>
        <v>-2.4395598392307691E-2</v>
      </c>
    </row>
    <row r="1313" spans="1:14" x14ac:dyDescent="0.25">
      <c r="A1313">
        <f>-8.230785326*(0.3)</f>
        <v>-2.4692355977999996</v>
      </c>
      <c r="B1313">
        <f>0.633137332769231*(0.3)</f>
        <v>0.18994119983076921</v>
      </c>
      <c r="C1313">
        <f>1.89941199830769*(0.3)</f>
        <v>0.56982359949230754</v>
      </c>
      <c r="D1313">
        <f>0.633137332769231*(0.3)</f>
        <v>0.18994119983076921</v>
      </c>
      <c r="E1313">
        <f>0.633137332769231*(0.3)</f>
        <v>0.18994119983076921</v>
      </c>
      <c r="F1313">
        <f>0.633137332769231*(0.3)</f>
        <v>0.18994119983076921</v>
      </c>
      <c r="G1313">
        <f>0.379882399661538*(0.3)</f>
        <v>0.11396471989846152</v>
      </c>
      <c r="H1313">
        <f>0.633137332769231*(0.3)</f>
        <v>0.18994119983076921</v>
      </c>
      <c r="I1313">
        <f>0.633137332769231*(0.3)</f>
        <v>0.18994119983076921</v>
      </c>
      <c r="J1313">
        <f>-0.126627466553846*(0.3)</f>
        <v>-3.7988239966153831E-2</v>
      </c>
      <c r="K1313">
        <f>0.633137332769231*(0.3)</f>
        <v>0.18994119983076921</v>
      </c>
      <c r="L1313">
        <f>0.310237293056923*(0.3)</f>
        <v>9.3071187917076914E-2</v>
      </c>
      <c r="M1313">
        <f>0.696451066046154*(0.3)</f>
        <v>0.20893531981384614</v>
      </c>
      <c r="N1313">
        <f>0.633137332769231*(0.3)</f>
        <v>0.18994119983076921</v>
      </c>
    </row>
    <row r="1314" spans="1:14" x14ac:dyDescent="0.25">
      <c r="A1314">
        <f>0.192861115*(0.3)</f>
        <v>5.7858334499999997E-2</v>
      </c>
      <c r="B1314">
        <f>-0.0148354703846154*(0.3)</f>
        <v>-4.450641115384615E-3</v>
      </c>
      <c r="C1314">
        <f>-0.0445064111538462*(0.3)</f>
        <v>-1.3351923346153845E-2</v>
      </c>
      <c r="D1314">
        <f>-0.0148354703846154*(0.3)</f>
        <v>-4.450641115384615E-3</v>
      </c>
      <c r="E1314">
        <f>-0.0148354703846154*(0.3)</f>
        <v>-4.450641115384615E-3</v>
      </c>
      <c r="F1314">
        <f>-0.0148354703846154*(0.3)</f>
        <v>-4.450641115384615E-3</v>
      </c>
      <c r="G1314">
        <f>-0.00890128223076923*(0.3)</f>
        <v>-2.6703846692307689E-3</v>
      </c>
      <c r="H1314">
        <f>-0.0148354703846154*(0.3)</f>
        <v>-4.450641115384615E-3</v>
      </c>
      <c r="I1314">
        <f>-0.0148354703846154*(0.3)</f>
        <v>-4.450641115384615E-3</v>
      </c>
      <c r="J1314">
        <f>0.00296709407692308*(0.3)</f>
        <v>8.9012822307692283E-4</v>
      </c>
      <c r="K1314">
        <f>-0.0148354703846154*(0.3)</f>
        <v>-4.450641115384615E-3</v>
      </c>
      <c r="L1314">
        <f>-0.00726938048846154*(0.3)</f>
        <v>-2.1808141465384616E-3</v>
      </c>
      <c r="M1314">
        <f>-0.0163190174230769*(0.3)</f>
        <v>-4.8957052269230777E-3</v>
      </c>
      <c r="N1314">
        <f>-0.0148354703846154*(0.3)</f>
        <v>-4.450641115384615E-3</v>
      </c>
    </row>
    <row r="1315" spans="1:14" x14ac:dyDescent="0.25">
      <c r="A1315">
        <f>-13.27570649*(0.3)</f>
        <v>-3.9827119469999994</v>
      </c>
      <c r="B1315">
        <f>1.02120819153846*(0.3)</f>
        <v>0.3063624574615384</v>
      </c>
      <c r="C1315">
        <f>3.06362457461538*(0.3)</f>
        <v>0.91908737238461535</v>
      </c>
      <c r="D1315">
        <f>1.02120819153846*(0.3)</f>
        <v>0.3063624574615384</v>
      </c>
      <c r="E1315">
        <f>1.02120819153846*(0.3)</f>
        <v>0.3063624574615384</v>
      </c>
      <c r="F1315">
        <f>1.02120819153846*(0.3)</f>
        <v>0.3063624574615384</v>
      </c>
      <c r="G1315">
        <f>0.612724914923077*(0.3)</f>
        <v>0.18381747447692304</v>
      </c>
      <c r="H1315">
        <f>1.02120819153846*(0.3)</f>
        <v>0.3063624574615384</v>
      </c>
      <c r="I1315">
        <f>1.02120819153846*(0.3)</f>
        <v>0.3063624574615384</v>
      </c>
      <c r="J1315">
        <f>-0.204241638307692*(0.3)</f>
        <v>-6.1272491492307665E-2</v>
      </c>
      <c r="K1315">
        <f>1.02120819153846*(0.3)</f>
        <v>0.3063624574615384</v>
      </c>
      <c r="L1315">
        <f>0.500392013853846*(0.3)</f>
        <v>0.15011760415615383</v>
      </c>
      <c r="M1315">
        <f>1.12332901069231*(0.3)</f>
        <v>0.33699870320769232</v>
      </c>
      <c r="N1315">
        <f>1.02120819153846*(0.3)</f>
        <v>0.3063624574615384</v>
      </c>
    </row>
    <row r="1316" spans="1:14" x14ac:dyDescent="0.25">
      <c r="A1316">
        <f>-0.261990083*(0.3)</f>
        <v>-7.8597024899999993E-2</v>
      </c>
      <c r="B1316">
        <f>0.0201530833076923*(0.3)</f>
        <v>6.045924992307692E-3</v>
      </c>
      <c r="C1316">
        <f>0.0604592499230769*(0.3)</f>
        <v>1.8137774976923076E-2</v>
      </c>
      <c r="D1316">
        <f>0.0201530833076923*(0.3)</f>
        <v>6.045924992307692E-3</v>
      </c>
      <c r="E1316">
        <f>0.0201530833076923*(0.3)</f>
        <v>6.045924992307692E-3</v>
      </c>
      <c r="F1316">
        <f>0.0201530833076923*(0.3)</f>
        <v>6.045924992307692E-3</v>
      </c>
      <c r="G1316">
        <f>0.0120918499846154*(0.3)</f>
        <v>3.6275549953846149E-3</v>
      </c>
      <c r="H1316">
        <f>0.0201530833076923*(0.3)</f>
        <v>6.045924992307692E-3</v>
      </c>
      <c r="I1316">
        <f>0.0201530833076923*(0.3)</f>
        <v>6.045924992307692E-3</v>
      </c>
      <c r="J1316">
        <f>-0.00403061666153846*(0.3)</f>
        <v>-1.2091849984615384E-3</v>
      </c>
      <c r="K1316">
        <f>0.0201530833076923*(0.3)</f>
        <v>6.045924992307692E-3</v>
      </c>
      <c r="L1316">
        <f>0.00987501082076923*(0.3)</f>
        <v>2.9625032462307689E-3</v>
      </c>
      <c r="M1316">
        <f>0.0221683916384615*(0.3)</f>
        <v>6.6505174915384617E-3</v>
      </c>
      <c r="N1316">
        <f>0.0201530833076923*(0.3)</f>
        <v>6.045924992307692E-3</v>
      </c>
    </row>
    <row r="1317" spans="1:14" x14ac:dyDescent="0.25">
      <c r="A1317">
        <f>-15.79462448*(0.3)</f>
        <v>-4.7383873439999995</v>
      </c>
      <c r="B1317">
        <f>1.21497111384615*(0.3)</f>
        <v>0.36449133415384616</v>
      </c>
      <c r="C1317">
        <f>3.64491334153846*(0.3)</f>
        <v>1.0934740024615384</v>
      </c>
      <c r="D1317">
        <f>1.21497111384615*(0.3)</f>
        <v>0.36449133415384616</v>
      </c>
      <c r="E1317">
        <f>1.21497111384615*(0.3)</f>
        <v>0.36449133415384616</v>
      </c>
      <c r="F1317">
        <f>1.21497111384615*(0.3)</f>
        <v>0.36449133415384616</v>
      </c>
      <c r="G1317">
        <f>0.728982668307692*(0.3)</f>
        <v>0.21869480049230769</v>
      </c>
      <c r="H1317">
        <f>1.21497111384615*(0.3)</f>
        <v>0.36449133415384616</v>
      </c>
      <c r="I1317">
        <f>1.21497111384615*(0.3)</f>
        <v>0.36449133415384616</v>
      </c>
      <c r="J1317">
        <f>-0.242994222769231*(0.3)</f>
        <v>-7.2898266830769207E-2</v>
      </c>
      <c r="K1317">
        <f>1.21497111384615*(0.3)</f>
        <v>0.36449133415384616</v>
      </c>
      <c r="L1317">
        <f>0.595335845784615*(0.3)</f>
        <v>0.17860075373538462</v>
      </c>
      <c r="M1317">
        <f>1.33646822523077*(0.3)</f>
        <v>0.4009404675692308</v>
      </c>
      <c r="N1317">
        <f>1.21497111384615*(0.3)</f>
        <v>0.36449133415384616</v>
      </c>
    </row>
    <row r="1318" spans="1:14" x14ac:dyDescent="0.25">
      <c r="A1318">
        <f>-0.234718878*(0.3)</f>
        <v>-7.0415663399999995E-2</v>
      </c>
      <c r="B1318">
        <f>0.0180552983076923*(0.3)</f>
        <v>5.4165894923076914E-3</v>
      </c>
      <c r="C1318">
        <f>0.0541658949230769*(0.3)</f>
        <v>1.6249768476923075E-2</v>
      </c>
      <c r="D1318">
        <f>0.0180552983076923*(0.3)</f>
        <v>5.4165894923076914E-3</v>
      </c>
      <c r="E1318">
        <f>0.0180552983076923*(0.3)</f>
        <v>5.4165894923076914E-3</v>
      </c>
      <c r="F1318">
        <f>0.0180552983076923*(0.3)</f>
        <v>5.4165894923076914E-3</v>
      </c>
      <c r="G1318">
        <f>0.0108331789846154*(0.3)</f>
        <v>3.2499536953846148E-3</v>
      </c>
      <c r="H1318">
        <f>0.0180552983076923*(0.3)</f>
        <v>5.4165894923076914E-3</v>
      </c>
      <c r="I1318">
        <f>0.0180552983076923*(0.3)</f>
        <v>5.4165894923076914E-3</v>
      </c>
      <c r="J1318">
        <f>-0.00361105966153846*(0.3)</f>
        <v>-1.0833178984615381E-3</v>
      </c>
      <c r="K1318">
        <f>0.0180552983076923*(0.3)</f>
        <v>5.4165894923076914E-3</v>
      </c>
      <c r="L1318">
        <f>0.00884709617076923*(0.3)</f>
        <v>2.654128851230769E-3</v>
      </c>
      <c r="M1318">
        <f>0.0198608281384615*(0.3)</f>
        <v>5.9582484415384614E-3</v>
      </c>
      <c r="N1318">
        <f>0.0180552983076923*(0.3)</f>
        <v>5.4165894923076914E-3</v>
      </c>
    </row>
    <row r="1319" spans="1:14" x14ac:dyDescent="0.25">
      <c r="A1319">
        <f>-20.19253939*(0.3)</f>
        <v>-6.0577618170000003</v>
      </c>
      <c r="B1319">
        <f>1.55327226076923*(0.3)</f>
        <v>0.46598167823076925</v>
      </c>
      <c r="C1319">
        <f>4.65981678230769*(0.3)</f>
        <v>1.3979450346923077</v>
      </c>
      <c r="D1319">
        <f>1.55327226076923*(0.3)</f>
        <v>0.46598167823076925</v>
      </c>
      <c r="E1319">
        <f>1.55327226076923*(0.3)</f>
        <v>0.46598167823076925</v>
      </c>
      <c r="F1319">
        <f>1.55327226076923*(0.3)</f>
        <v>0.46598167823076925</v>
      </c>
      <c r="G1319">
        <f>0.931963356461538*(0.3)</f>
        <v>0.27958900693846156</v>
      </c>
      <c r="H1319">
        <f>1.55327226076923*(0.3)</f>
        <v>0.46598167823076925</v>
      </c>
      <c r="I1319">
        <f>1.55327226076923*(0.3)</f>
        <v>0.46598167823076925</v>
      </c>
      <c r="J1319">
        <f>-0.310654452153846*(0.3)</f>
        <v>-9.319633564615383E-2</v>
      </c>
      <c r="K1319">
        <f>1.55327226076923*(0.3)</f>
        <v>0.46598167823076925</v>
      </c>
      <c r="L1319">
        <f>0.761103407776923*(0.3)</f>
        <v>0.22833102233307692</v>
      </c>
      <c r="M1319">
        <f>1.70859948684615*(0.3)</f>
        <v>0.51257984605384621</v>
      </c>
      <c r="N1319">
        <f>1.55327226076923*(0.3)</f>
        <v>0.46598167823076925</v>
      </c>
    </row>
    <row r="1320" spans="1:14" x14ac:dyDescent="0.25">
      <c r="A1320">
        <f>-1.344754195*(0.3)</f>
        <v>-0.40342625849999997</v>
      </c>
      <c r="B1320">
        <f>0.103442630384615*(0.3)</f>
        <v>3.103278911538461E-2</v>
      </c>
      <c r="C1320">
        <f>0.310327891153846*(0.3)</f>
        <v>9.3098367346153829E-2</v>
      </c>
      <c r="D1320">
        <f>0.103442630384615*(0.3)</f>
        <v>3.103278911538461E-2</v>
      </c>
      <c r="E1320">
        <f>0.103442630384615*(0.3)</f>
        <v>3.103278911538461E-2</v>
      </c>
      <c r="F1320">
        <f>0.103442630384615*(0.3)</f>
        <v>3.103278911538461E-2</v>
      </c>
      <c r="G1320">
        <f>0.0620655782307692*(0.3)</f>
        <v>1.8619673469230765E-2</v>
      </c>
      <c r="H1320">
        <f>0.103442630384615*(0.3)</f>
        <v>3.103278911538461E-2</v>
      </c>
      <c r="I1320">
        <f>0.103442630384615*(0.3)</f>
        <v>3.103278911538461E-2</v>
      </c>
      <c r="J1320">
        <f>-0.0206885260769231*(0.3)</f>
        <v>-6.2065578230769214E-3</v>
      </c>
      <c r="K1320">
        <f>0.103442630384615*(0.3)</f>
        <v>3.103278911538461E-2</v>
      </c>
      <c r="L1320">
        <f>0.0506868888884615*(0.3)</f>
        <v>1.5206066666538459E-2</v>
      </c>
      <c r="M1320">
        <f>0.113786893423077*(0.3)</f>
        <v>3.4136068026923073E-2</v>
      </c>
      <c r="N1320">
        <f>0.103442630384615*(0.3)</f>
        <v>3.103278911538461E-2</v>
      </c>
    </row>
    <row r="1321" spans="1:14" x14ac:dyDescent="0.25">
      <c r="A1321">
        <f>-23.51841506*(0.3)</f>
        <v>-7.0555245179999995</v>
      </c>
      <c r="B1321">
        <f>1.80910885076923*(0.3)</f>
        <v>0.54273265523076919</v>
      </c>
      <c r="C1321">
        <f>5.42732655230769*(0.3)</f>
        <v>1.6281979656923076</v>
      </c>
      <c r="D1321">
        <f>1.80910885076923*(0.3)</f>
        <v>0.54273265523076919</v>
      </c>
      <c r="E1321">
        <f>1.80910885076923*(0.3)</f>
        <v>0.54273265523076919</v>
      </c>
      <c r="F1321">
        <f>1.80910885076923*(0.3)</f>
        <v>0.54273265523076919</v>
      </c>
      <c r="G1321">
        <f>1.08546531046154*(0.3)</f>
        <v>0.32563959313846152</v>
      </c>
      <c r="H1321">
        <f>1.80910885076923*(0.3)</f>
        <v>0.54273265523076919</v>
      </c>
      <c r="I1321">
        <f>1.80910885076923*(0.3)</f>
        <v>0.54273265523076919</v>
      </c>
      <c r="J1321">
        <f>-0.361821770153846*(0.3)</f>
        <v>-0.10854653104615382</v>
      </c>
      <c r="K1321">
        <f>1.80910885076923*(0.3)</f>
        <v>0.54273265523076919</v>
      </c>
      <c r="L1321">
        <f>0.886463336876923*(0.3)</f>
        <v>0.26593900106307689</v>
      </c>
      <c r="M1321">
        <f>1.99001973584615*(0.3)</f>
        <v>0.59700592075384618</v>
      </c>
      <c r="N1321">
        <f>1.80910885076923*(0.3)</f>
        <v>0.54273265523076919</v>
      </c>
    </row>
    <row r="1322" spans="1:14" x14ac:dyDescent="0.25">
      <c r="A1322">
        <f>-0.355094623*(0.3)</f>
        <v>-0.10652838689999999</v>
      </c>
      <c r="B1322">
        <f>0.027314971*(0.3)</f>
        <v>8.1944913000000005E-3</v>
      </c>
      <c r="C1322">
        <f>0.081944913*(0.3)</f>
        <v>2.4583473900000003E-2</v>
      </c>
      <c r="D1322">
        <f>0.027314971*(0.3)</f>
        <v>8.1944913000000005E-3</v>
      </c>
      <c r="E1322">
        <f>0.027314971*(0.3)</f>
        <v>8.1944913000000005E-3</v>
      </c>
      <c r="F1322">
        <f>0.027314971*(0.3)</f>
        <v>8.1944913000000005E-3</v>
      </c>
      <c r="G1322">
        <f>0.0163889826*(0.3)</f>
        <v>4.9166947800000005E-3</v>
      </c>
      <c r="H1322">
        <f>0.027314971*(0.3)</f>
        <v>8.1944913000000005E-3</v>
      </c>
      <c r="I1322">
        <f>0.027314971*(0.3)</f>
        <v>8.1944913000000005E-3</v>
      </c>
      <c r="J1322">
        <f>-0.0054629942*(0.3)</f>
        <v>-1.6388982599999996E-3</v>
      </c>
      <c r="K1322">
        <f>0.027314971*(0.3)</f>
        <v>8.1944913000000005E-3</v>
      </c>
      <c r="L1322">
        <f>0.01338433579*(0.3)</f>
        <v>4.0153007369999995E-3</v>
      </c>
      <c r="M1322">
        <f>0.0300464681*(0.3)</f>
        <v>9.0139404300000007E-3</v>
      </c>
      <c r="N1322">
        <f>0.027314971*(0.3)</f>
        <v>8.1944913000000005E-3</v>
      </c>
    </row>
    <row r="1323" spans="1:14" x14ac:dyDescent="0.25">
      <c r="A1323">
        <f>-25.31802789*(0.3)</f>
        <v>-7.5954083669999992</v>
      </c>
      <c r="B1323">
        <f>1.94754060692308*(0.3)</f>
        <v>0.58426218207692304</v>
      </c>
      <c r="C1323">
        <f>5.84262182076923*(0.3)</f>
        <v>1.7527865462307692</v>
      </c>
      <c r="D1323">
        <f>1.94754060692308*(0.3)</f>
        <v>0.58426218207692304</v>
      </c>
      <c r="E1323">
        <f>1.94754060692308*(0.3)</f>
        <v>0.58426218207692304</v>
      </c>
      <c r="F1323">
        <f>1.94754060692308*(0.3)</f>
        <v>0.58426218207692304</v>
      </c>
      <c r="G1323">
        <f>1.16852436415385*(0.3)</f>
        <v>0.3505573092461538</v>
      </c>
      <c r="H1323">
        <f>1.94754060692308*(0.3)</f>
        <v>0.58426218207692304</v>
      </c>
      <c r="I1323">
        <f>1.94754060692308*(0.3)</f>
        <v>0.58426218207692304</v>
      </c>
      <c r="J1323">
        <f>-0.389508121384615*(0.3)</f>
        <v>-0.11685243641538459</v>
      </c>
      <c r="K1323">
        <f>1.94754060692308*(0.3)</f>
        <v>0.58426218207692304</v>
      </c>
      <c r="L1323">
        <f>0.954294897392308*(0.3)</f>
        <v>0.2862884692176923</v>
      </c>
      <c r="M1323">
        <f>2.14229466761538*(0.3)</f>
        <v>0.64268840028461549</v>
      </c>
      <c r="N1323">
        <f>1.94754060692308*(0.3)</f>
        <v>0.58426218207692304</v>
      </c>
    </row>
    <row r="1324" spans="1:14" x14ac:dyDescent="0.25">
      <c r="A1324">
        <f>0.596595672*(0.3)</f>
        <v>0.17897870159999998</v>
      </c>
      <c r="B1324">
        <f>-0.0458919747692308*(0.3)</f>
        <v>-1.376759243076923E-2</v>
      </c>
      <c r="C1324">
        <f>-0.137675924307692*(0.3)</f>
        <v>-4.1302777292307684E-2</v>
      </c>
      <c r="D1324">
        <f>-0.0458919747692308*(0.3)</f>
        <v>-1.376759243076923E-2</v>
      </c>
      <c r="E1324">
        <f>-0.0458919747692308*(0.3)</f>
        <v>-1.376759243076923E-2</v>
      </c>
      <c r="F1324">
        <f>-0.0458919747692308*(0.3)</f>
        <v>-1.376759243076923E-2</v>
      </c>
      <c r="G1324">
        <f>-0.0275351848615385*(0.3)</f>
        <v>-8.2605554584615371E-3</v>
      </c>
      <c r="H1324">
        <f>-0.0458919747692308*(0.3)</f>
        <v>-1.376759243076923E-2</v>
      </c>
      <c r="I1324">
        <f>-0.0458919747692308*(0.3)</f>
        <v>-1.376759243076923E-2</v>
      </c>
      <c r="J1324">
        <f>0.00917839495384615*(0.3)</f>
        <v>2.753518486153845E-3</v>
      </c>
      <c r="K1324">
        <f>-0.0458919747692308*(0.3)</f>
        <v>-1.376759243076923E-2</v>
      </c>
      <c r="L1324">
        <f>-0.0224870676369231*(0.3)</f>
        <v>-6.7461202910769217E-3</v>
      </c>
      <c r="M1324">
        <f>-0.0504811722461538*(0.3)</f>
        <v>-1.5144351673846153E-2</v>
      </c>
      <c r="N1324">
        <f>-0.0458919747692308*(0.3)</f>
        <v>-1.376759243076923E-2</v>
      </c>
    </row>
    <row r="1325" spans="1:14" x14ac:dyDescent="0.25">
      <c r="A1325">
        <f>-27.48028824*(0.3)</f>
        <v>-8.2440864719999993</v>
      </c>
      <c r="B1325">
        <f>2.11386832615385*(0.3)</f>
        <v>0.6341604978461538</v>
      </c>
      <c r="C1325">
        <f>6.34160497846154*(0.3)</f>
        <v>1.9024814935384615</v>
      </c>
      <c r="D1325">
        <f>2.11386832615385*(0.3)</f>
        <v>0.6341604978461538</v>
      </c>
      <c r="E1325">
        <f>2.11386832615385*(0.3)</f>
        <v>0.6341604978461538</v>
      </c>
      <c r="F1325">
        <f>2.11386832615385*(0.3)</f>
        <v>0.6341604978461538</v>
      </c>
      <c r="G1325">
        <f>1.26832099569231*(0.3)</f>
        <v>0.38049629870769225</v>
      </c>
      <c r="H1325">
        <f>2.11386832615385*(0.3)</f>
        <v>0.6341604978461538</v>
      </c>
      <c r="I1325">
        <f>2.11386832615385*(0.3)</f>
        <v>0.6341604978461538</v>
      </c>
      <c r="J1325">
        <f>-0.422773665230769*(0.3)</f>
        <v>-0.12683209956923075</v>
      </c>
      <c r="K1325">
        <f>2.11386832615385*(0.3)</f>
        <v>0.6341604978461538</v>
      </c>
      <c r="L1325">
        <f>1.03579547981538*(0.3)</f>
        <v>0.31073864394461537</v>
      </c>
      <c r="M1325">
        <f>2.32525515876923*(0.3)</f>
        <v>0.69757654763076926</v>
      </c>
      <c r="N1325">
        <f>2.11386832615385*(0.3)</f>
        <v>0.6341604978461538</v>
      </c>
    </row>
    <row r="1326" spans="1:14" x14ac:dyDescent="0.25">
      <c r="A1326">
        <f>-0.409287888*(0.3)</f>
        <v>-0.12278636639999999</v>
      </c>
      <c r="B1326">
        <f>0.0314836836923077*(0.3)</f>
        <v>9.445105107692307E-3</v>
      </c>
      <c r="C1326">
        <f>0.0944510510769231*(0.3)</f>
        <v>2.8335315323076916E-2</v>
      </c>
      <c r="D1326">
        <f>0.0314836836923077*(0.3)</f>
        <v>9.445105107692307E-3</v>
      </c>
      <c r="E1326">
        <f>0.0314836836923077*(0.3)</f>
        <v>9.445105107692307E-3</v>
      </c>
      <c r="F1326">
        <f>0.0314836836923077*(0.3)</f>
        <v>9.445105107692307E-3</v>
      </c>
      <c r="G1326">
        <f>0.0188902102153846*(0.3)</f>
        <v>5.6670630646153842E-3</v>
      </c>
      <c r="H1326">
        <f>0.0314836836923077*(0.3)</f>
        <v>9.445105107692307E-3</v>
      </c>
      <c r="I1326">
        <f>0.0314836836923077*(0.3)</f>
        <v>9.445105107692307E-3</v>
      </c>
      <c r="J1326">
        <f>-0.00629673673846154*(0.3)</f>
        <v>-1.889021021538461E-3</v>
      </c>
      <c r="K1326">
        <f>0.0314836836923077*(0.3)</f>
        <v>9.445105107692307E-3</v>
      </c>
      <c r="L1326">
        <f>0.0154270050092308*(0.3)</f>
        <v>4.6281015027692298E-3</v>
      </c>
      <c r="M1326">
        <f>0.0346320520615385*(0.3)</f>
        <v>1.0389615618461537E-2</v>
      </c>
      <c r="N1326">
        <f>0.0314836836923077*(0.3)</f>
        <v>9.445105107692307E-3</v>
      </c>
    </row>
    <row r="1327" spans="1:14" x14ac:dyDescent="0.25">
      <c r="A1327">
        <f>-33.04540881*(0.3)</f>
        <v>-9.9136226429999983</v>
      </c>
      <c r="B1327">
        <f>2.54195452384615*(0.3)</f>
        <v>0.76258635715384604</v>
      </c>
      <c r="C1327">
        <f>7.62586357153846*(0.3)</f>
        <v>2.2877590714615383</v>
      </c>
      <c r="D1327">
        <f>2.54195452384615*(0.3)</f>
        <v>0.76258635715384604</v>
      </c>
      <c r="E1327">
        <f>2.54195452384615*(0.3)</f>
        <v>0.76258635715384604</v>
      </c>
      <c r="F1327">
        <f>2.54195452384615*(0.3)</f>
        <v>0.76258635715384604</v>
      </c>
      <c r="G1327">
        <f>1.52517271430769*(0.3)</f>
        <v>0.45755181429230762</v>
      </c>
      <c r="H1327">
        <f>2.54195452384615*(0.3)</f>
        <v>0.76258635715384604</v>
      </c>
      <c r="I1327">
        <f>2.54195452384615*(0.3)</f>
        <v>0.76258635715384604</v>
      </c>
      <c r="J1327">
        <f>-0.508390904769231*(0.3)</f>
        <v>-0.15251727143076918</v>
      </c>
      <c r="K1327">
        <f>2.54195452384615*(0.3)</f>
        <v>0.76258635715384604</v>
      </c>
      <c r="L1327">
        <f>1.24555771668462*(0.3)</f>
        <v>0.37366731500538458</v>
      </c>
      <c r="M1327">
        <f>2.79614997623077*(0.3)</f>
        <v>0.83884499286923075</v>
      </c>
      <c r="N1327">
        <f>2.54195452384615*(0.3)</f>
        <v>0.76258635715384604</v>
      </c>
    </row>
    <row r="1328" spans="1:14" x14ac:dyDescent="0.25">
      <c r="A1328">
        <f>2.825727164*(0.3)</f>
        <v>0.84771814919999999</v>
      </c>
      <c r="B1328">
        <f>-0.217363628*(0.3)</f>
        <v>-6.5209088400000004E-2</v>
      </c>
      <c r="C1328">
        <f>-0.652090884*(0.3)</f>
        <v>-0.19562726520000001</v>
      </c>
      <c r="D1328">
        <f>-0.217363628*(0.3)</f>
        <v>-6.5209088400000004E-2</v>
      </c>
      <c r="E1328">
        <f>-0.217363628*(0.3)</f>
        <v>-6.5209088400000004E-2</v>
      </c>
      <c r="F1328">
        <f>-0.217363628*(0.3)</f>
        <v>-6.5209088400000004E-2</v>
      </c>
      <c r="G1328">
        <f>-0.1304181768*(0.3)</f>
        <v>-3.9125453040000001E-2</v>
      </c>
      <c r="H1328">
        <f>-0.217363628*(0.3)</f>
        <v>-6.5209088400000004E-2</v>
      </c>
      <c r="I1328">
        <f>-0.217363628*(0.3)</f>
        <v>-6.5209088400000004E-2</v>
      </c>
      <c r="J1328">
        <f>0.0434727256*(0.3)</f>
        <v>1.3041817679999996E-2</v>
      </c>
      <c r="K1328">
        <f>-0.217363628*(0.3)</f>
        <v>-6.5209088400000004E-2</v>
      </c>
      <c r="L1328">
        <f>-0.10650817772*(0.3)</f>
        <v>-3.1952453315999996E-2</v>
      </c>
      <c r="M1328">
        <f>-0.2390999908*(0.3)</f>
        <v>-7.172999724000001E-2</v>
      </c>
      <c r="N1328">
        <f>-0.217363628*(0.3)</f>
        <v>-6.5209088400000004E-2</v>
      </c>
    </row>
    <row r="1329" spans="1:14" x14ac:dyDescent="0.25">
      <c r="A1329">
        <f>-9.956183732*(0.3)</f>
        <v>-2.9868551195999999</v>
      </c>
      <c r="B1329">
        <f>0.765860287076923*(0.3)</f>
        <v>0.22975808612307688</v>
      </c>
      <c r="C1329">
        <f>2.29758086123077*(0.3)</f>
        <v>0.68927425836923062</v>
      </c>
      <c r="D1329">
        <f>0.765860287076923*(0.3)</f>
        <v>0.22975808612307688</v>
      </c>
      <c r="E1329">
        <f>0.765860287076923*(0.3)</f>
        <v>0.22975808612307688</v>
      </c>
      <c r="F1329">
        <f>0.765860287076923*(0.3)</f>
        <v>0.22975808612307688</v>
      </c>
      <c r="G1329">
        <f>0.459516172246154*(0.3)</f>
        <v>0.13785485167384612</v>
      </c>
      <c r="H1329">
        <f>0.765860287076923*(0.3)</f>
        <v>0.22975808612307688</v>
      </c>
      <c r="I1329">
        <f>0.765860287076923*(0.3)</f>
        <v>0.22975808612307688</v>
      </c>
      <c r="J1329">
        <f>-0.153172057415385*(0.3)</f>
        <v>-4.5951617224615368E-2</v>
      </c>
      <c r="K1329">
        <f>0.765860287076923*(0.3)</f>
        <v>0.22975808612307688</v>
      </c>
      <c r="L1329">
        <f>0.375271540667692*(0.3)</f>
        <v>0.11258146220030767</v>
      </c>
      <c r="M1329">
        <f>0.842446315784615*(0.3)</f>
        <v>0.2527338947353846</v>
      </c>
      <c r="N1329">
        <f>0.765860287076923*(0.3)</f>
        <v>0.22975808612307688</v>
      </c>
    </row>
    <row r="1330" spans="1:14" x14ac:dyDescent="0.25">
      <c r="A1330">
        <f>0.984900466*(0.3)</f>
        <v>0.29547013979999998</v>
      </c>
      <c r="B1330">
        <f>-0.0757615743076923*(0.3)</f>
        <v>-2.2728472292307695E-2</v>
      </c>
      <c r="C1330">
        <f>-0.227284722923077*(0.3)</f>
        <v>-6.8185416876923075E-2</v>
      </c>
      <c r="D1330">
        <f>-0.0757615743076923*(0.3)</f>
        <v>-2.2728472292307695E-2</v>
      </c>
      <c r="E1330">
        <f>-0.0757615743076923*(0.3)</f>
        <v>-2.2728472292307695E-2</v>
      </c>
      <c r="F1330">
        <f>-0.0757615743076923*(0.3)</f>
        <v>-2.2728472292307695E-2</v>
      </c>
      <c r="G1330">
        <f>-0.0454569445846154*(0.3)</f>
        <v>-1.3637083375384617E-2</v>
      </c>
      <c r="H1330">
        <f>-0.0757615743076923*(0.3)</f>
        <v>-2.2728472292307695E-2</v>
      </c>
      <c r="I1330">
        <f>-0.0757615743076923*(0.3)</f>
        <v>-2.2728472292307695E-2</v>
      </c>
      <c r="J1330">
        <f>0.0151523148615385*(0.3)</f>
        <v>4.5456944584615373E-3</v>
      </c>
      <c r="K1330">
        <f>-0.0757615743076923*(0.3)</f>
        <v>-2.2728472292307695E-2</v>
      </c>
      <c r="L1330">
        <f>-0.0371231714107692*(0.3)</f>
        <v>-1.1136951423230771E-2</v>
      </c>
      <c r="M1330">
        <f>-0.0833377317384616*(0.3)</f>
        <v>-2.5001319521538466E-2</v>
      </c>
      <c r="N1330">
        <f>-0.0757615743076923*(0.3)</f>
        <v>-2.2728472292307695E-2</v>
      </c>
    </row>
    <row r="1331" spans="1:14" x14ac:dyDescent="0.25">
      <c r="A1331">
        <f>-13.32189346*(0.3)</f>
        <v>-3.9965680379999999</v>
      </c>
      <c r="B1331">
        <f>1.02476103538462*(0.3)</f>
        <v>0.30742831061538461</v>
      </c>
      <c r="C1331">
        <f>3.07428310615385*(0.3)</f>
        <v>0.9222849318461539</v>
      </c>
      <c r="D1331">
        <f>1.02476103538462*(0.3)</f>
        <v>0.30742831061538461</v>
      </c>
      <c r="E1331">
        <f>1.02476103538462*(0.3)</f>
        <v>0.30742831061538461</v>
      </c>
      <c r="F1331">
        <f>1.02476103538462*(0.3)</f>
        <v>0.30742831061538461</v>
      </c>
      <c r="G1331">
        <f>0.614856621230769*(0.3)</f>
        <v>0.18445698636923077</v>
      </c>
      <c r="H1331">
        <f>1.02476103538462*(0.3)</f>
        <v>0.30742831061538461</v>
      </c>
      <c r="I1331">
        <f>1.02476103538462*(0.3)</f>
        <v>0.30742831061538461</v>
      </c>
      <c r="J1331">
        <f>-0.204952207076923*(0.3)</f>
        <v>-6.1485662123076913E-2</v>
      </c>
      <c r="K1331">
        <f>1.02476103538462*(0.3)</f>
        <v>0.30742831061538461</v>
      </c>
      <c r="L1331">
        <f>0.502132907338462*(0.3)</f>
        <v>0.15063987220153849</v>
      </c>
      <c r="M1331">
        <f>1.12723713892308*(0.3)</f>
        <v>0.33817114167692314</v>
      </c>
      <c r="N1331">
        <f>1.02476103538462*(0.3)</f>
        <v>0.30742831061538461</v>
      </c>
    </row>
    <row r="1332" spans="1:14" x14ac:dyDescent="0.25">
      <c r="A1332">
        <f>1.672959926*(0.3)</f>
        <v>0.50188797780000005</v>
      </c>
      <c r="B1332">
        <f>-0.128689225076923*(0.3)</f>
        <v>-3.8606767523076929E-2</v>
      </c>
      <c r="C1332">
        <f>-0.386067675230769*(0.3)</f>
        <v>-0.11582030256923079</v>
      </c>
      <c r="D1332">
        <f>-0.128689225076923*(0.3)</f>
        <v>-3.8606767523076929E-2</v>
      </c>
      <c r="E1332">
        <f>-0.128689225076923*(0.3)</f>
        <v>-3.8606767523076929E-2</v>
      </c>
      <c r="F1332">
        <f>-0.128689225076923*(0.3)</f>
        <v>-3.8606767523076929E-2</v>
      </c>
      <c r="G1332">
        <f>-0.0772135350461539*(0.3)</f>
        <v>-2.3164060513846157E-2</v>
      </c>
      <c r="H1332">
        <f>-0.128689225076923*(0.3)</f>
        <v>-3.8606767523076929E-2</v>
      </c>
      <c r="I1332">
        <f>-0.128689225076923*(0.3)</f>
        <v>-3.8606767523076929E-2</v>
      </c>
      <c r="J1332">
        <f>0.0257378450153846*(0.3)</f>
        <v>7.7213535046153836E-3</v>
      </c>
      <c r="K1332">
        <f>-0.128689225076923*(0.3)</f>
        <v>-3.8606767523076929E-2</v>
      </c>
      <c r="L1332">
        <f>-0.0630577202876923*(0.3)</f>
        <v>-1.8917316086307694E-2</v>
      </c>
      <c r="M1332">
        <f>-0.141558147584615*(0.3)</f>
        <v>-4.2467444275384618E-2</v>
      </c>
      <c r="N1332">
        <f>-0.128689225076923*(0.3)</f>
        <v>-3.8606767523076929E-2</v>
      </c>
    </row>
    <row r="1333" spans="1:14" x14ac:dyDescent="0.25">
      <c r="A1333">
        <f>-16.74859123*(0.3)</f>
        <v>-5.0245773689999993</v>
      </c>
      <c r="B1333">
        <f>1.28835317153846*(0.3)</f>
        <v>0.38650595146153843</v>
      </c>
      <c r="C1333">
        <f>3.86505951461538*(0.3)</f>
        <v>1.1595178543846154</v>
      </c>
      <c r="D1333">
        <f>1.28835317153846*(0.3)</f>
        <v>0.38650595146153843</v>
      </c>
      <c r="E1333">
        <f>1.28835317153846*(0.3)</f>
        <v>0.38650595146153843</v>
      </c>
      <c r="F1333">
        <f>1.28835317153846*(0.3)</f>
        <v>0.38650595146153843</v>
      </c>
      <c r="G1333">
        <f>0.773011902923077*(0.3)</f>
        <v>0.23190357087692304</v>
      </c>
      <c r="H1333">
        <f>1.28835317153846*(0.3)</f>
        <v>0.38650595146153843</v>
      </c>
      <c r="I1333">
        <f>1.28835317153846*(0.3)</f>
        <v>0.38650595146153843</v>
      </c>
      <c r="J1333">
        <f>-0.257670634307692*(0.3)</f>
        <v>-7.7301190292307684E-2</v>
      </c>
      <c r="K1333">
        <f>1.28835317153846*(0.3)</f>
        <v>0.38650595146153843</v>
      </c>
      <c r="L1333">
        <f>0.631293054053846*(0.3)</f>
        <v>0.18938791621615383</v>
      </c>
      <c r="M1333">
        <f>1.41718848869231*(0.3)</f>
        <v>0.42515654660769236</v>
      </c>
      <c r="N1333">
        <f>1.28835317153846*(0.3)</f>
        <v>0.38650595146153843</v>
      </c>
    </row>
    <row r="1334" spans="1:14" x14ac:dyDescent="0.25">
      <c r="A1334">
        <f>1.669249639*(0.3)</f>
        <v>0.5007748917</v>
      </c>
      <c r="B1334">
        <f>-0.128403818384615*(0.3)</f>
        <v>-3.8521145515384617E-2</v>
      </c>
      <c r="C1334">
        <f>-0.385211455153846*(0.3)</f>
        <v>-0.11556343654615385</v>
      </c>
      <c r="D1334">
        <f>-0.128403818384615*(0.3)</f>
        <v>-3.8521145515384617E-2</v>
      </c>
      <c r="E1334">
        <f>-0.128403818384615*(0.3)</f>
        <v>-3.8521145515384617E-2</v>
      </c>
      <c r="F1334">
        <f>-0.128403818384615*(0.3)</f>
        <v>-3.8521145515384617E-2</v>
      </c>
      <c r="G1334">
        <f>-0.0770422910307692*(0.3)</f>
        <v>-2.3112687309230769E-2</v>
      </c>
      <c r="H1334">
        <f>-0.128403818384615*(0.3)</f>
        <v>-3.8521145515384617E-2</v>
      </c>
      <c r="I1334">
        <f>-0.128403818384615*(0.3)</f>
        <v>-3.8521145515384617E-2</v>
      </c>
      <c r="J1334">
        <f>0.0256807636769231*(0.3)</f>
        <v>7.7042291030769219E-3</v>
      </c>
      <c r="K1334">
        <f>-0.128403818384615*(0.3)</f>
        <v>-3.8521145515384617E-2</v>
      </c>
      <c r="L1334">
        <f>-0.0629178710084615*(0.3)</f>
        <v>-1.887536130253846E-2</v>
      </c>
      <c r="M1334">
        <f>-0.141244200223077*(0.3)</f>
        <v>-4.2373260066923088E-2</v>
      </c>
      <c r="N1334">
        <f>-0.128403818384615*(0.3)</f>
        <v>-3.8521145515384617E-2</v>
      </c>
    </row>
    <row r="1335" spans="1:14" x14ac:dyDescent="0.25">
      <c r="A1335">
        <f>-16.24506503*(0.3)</f>
        <v>-4.8735195089999994</v>
      </c>
      <c r="B1335">
        <f>1.24962038692308*(0.3)</f>
        <v>0.37488611607692307</v>
      </c>
      <c r="C1335">
        <f>3.74886116076923*(0.3)</f>
        <v>1.124658348230769</v>
      </c>
      <c r="D1335">
        <f>1.24962038692308*(0.3)</f>
        <v>0.37488611607692307</v>
      </c>
      <c r="E1335">
        <f>1.24962038692308*(0.3)</f>
        <v>0.37488611607692307</v>
      </c>
      <c r="F1335">
        <f>1.24962038692308*(0.3)</f>
        <v>0.37488611607692307</v>
      </c>
      <c r="G1335">
        <f>0.749772232153846*(0.3)</f>
        <v>0.22493166964615383</v>
      </c>
      <c r="H1335">
        <f>1.24962038692308*(0.3)</f>
        <v>0.37488611607692307</v>
      </c>
      <c r="I1335">
        <f>1.24962038692308*(0.3)</f>
        <v>0.37488611607692307</v>
      </c>
      <c r="J1335">
        <f>-0.249924077384615*(0.3)</f>
        <v>-7.4977223215384595E-2</v>
      </c>
      <c r="K1335">
        <f>1.24962038692308*(0.3)</f>
        <v>0.37488611607692307</v>
      </c>
      <c r="L1335">
        <f>0.612313989592308*(0.3)</f>
        <v>0.18369419687769228</v>
      </c>
      <c r="M1335">
        <f>1.37458242561538*(0.3)</f>
        <v>0.41237472768461542</v>
      </c>
      <c r="N1335">
        <f>1.24962038692308*(0.3)</f>
        <v>0.37488611607692307</v>
      </c>
    </row>
    <row r="1336" spans="1:14" x14ac:dyDescent="0.25">
      <c r="A1336">
        <f>-0.948033897*(0.3)</f>
        <v>-0.2844101691</v>
      </c>
      <c r="B1336">
        <f>0.0729256843846154*(0.3)</f>
        <v>2.1877705315384615E-2</v>
      </c>
      <c r="C1336">
        <f>0.218777053153846*(0.3)</f>
        <v>6.5633115946153842E-2</v>
      </c>
      <c r="D1336">
        <f>0.0729256843846154*(0.3)</f>
        <v>2.1877705315384615E-2</v>
      </c>
      <c r="E1336">
        <f>0.0729256843846154*(0.3)</f>
        <v>2.1877705315384615E-2</v>
      </c>
      <c r="F1336">
        <f>0.0729256843846154*(0.3)</f>
        <v>2.1877705315384615E-2</v>
      </c>
      <c r="G1336">
        <f>0.0437554106307692*(0.3)</f>
        <v>1.3126623189230769E-2</v>
      </c>
      <c r="H1336">
        <f>0.0729256843846154*(0.3)</f>
        <v>2.1877705315384615E-2</v>
      </c>
      <c r="I1336">
        <f>0.0729256843846154*(0.3)</f>
        <v>2.1877705315384615E-2</v>
      </c>
      <c r="J1336">
        <f>-0.0145851368769231*(0.3)</f>
        <v>-4.3755410630769223E-3</v>
      </c>
      <c r="K1336">
        <f>0.0729256843846154*(0.3)</f>
        <v>2.1877705315384615E-2</v>
      </c>
      <c r="L1336">
        <f>0.0357335853484615*(0.3)</f>
        <v>1.072007560453846E-2</v>
      </c>
      <c r="M1336">
        <f>0.0802182528230769*(0.3)</f>
        <v>2.406547584692308E-2</v>
      </c>
      <c r="N1336">
        <f>0.0729256843846154*(0.3)</f>
        <v>2.1877705315384615E-2</v>
      </c>
    </row>
    <row r="1337" spans="1:14" x14ac:dyDescent="0.25">
      <c r="A1337">
        <f>-25.64694509*(0.3)</f>
        <v>-7.6940835269999992</v>
      </c>
      <c r="B1337">
        <f>1.97284193*(0.3)</f>
        <v>0.59185257899999999</v>
      </c>
      <c r="C1337">
        <f>5.91852579*(0.3)</f>
        <v>1.775557737</v>
      </c>
      <c r="D1337">
        <f>1.97284193*(0.3)</f>
        <v>0.59185257899999999</v>
      </c>
      <c r="E1337">
        <f>1.97284193*(0.3)</f>
        <v>0.59185257899999999</v>
      </c>
      <c r="F1337">
        <f>1.97284193*(0.3)</f>
        <v>0.59185257899999999</v>
      </c>
      <c r="G1337">
        <f>1.183705158*(0.3)</f>
        <v>0.3551115474</v>
      </c>
      <c r="H1337">
        <f>1.97284193*(0.3)</f>
        <v>0.59185257899999999</v>
      </c>
      <c r="I1337">
        <f>1.97284193*(0.3)</f>
        <v>0.59185257899999999</v>
      </c>
      <c r="J1337">
        <f>-0.394568386*(0.3)</f>
        <v>-0.11837051579999996</v>
      </c>
      <c r="K1337">
        <f>1.97284193*(0.3)</f>
        <v>0.59185257899999999</v>
      </c>
      <c r="L1337">
        <f>0.9666925457*(0.3)</f>
        <v>0.29000776370999998</v>
      </c>
      <c r="M1337">
        <f>2.170126123*(0.3)</f>
        <v>0.65103783690000006</v>
      </c>
      <c r="N1337">
        <f>1.97284193*(0.3)</f>
        <v>0.59185257899999999</v>
      </c>
    </row>
    <row r="1338" spans="1:14" x14ac:dyDescent="0.25">
      <c r="A1338">
        <f>1.311553278*(0.3)</f>
        <v>0.3934659834</v>
      </c>
      <c r="B1338">
        <f>-0.100888713692308*(0.3)</f>
        <v>-3.0266614107692311E-2</v>
      </c>
      <c r="C1338">
        <f>-0.302666141076923*(0.3)</f>
        <v>-9.0799842323076932E-2</v>
      </c>
      <c r="D1338">
        <f>-0.100888713692308*(0.3)</f>
        <v>-3.0266614107692311E-2</v>
      </c>
      <c r="E1338">
        <f>-0.100888713692308*(0.3)</f>
        <v>-3.0266614107692311E-2</v>
      </c>
      <c r="F1338">
        <f>-0.100888713692308*(0.3)</f>
        <v>-3.0266614107692311E-2</v>
      </c>
      <c r="G1338">
        <f>-0.0605332282153846*(0.3)</f>
        <v>-1.8159968464615386E-2</v>
      </c>
      <c r="H1338">
        <f>-0.100888713692308*(0.3)</f>
        <v>-3.0266614107692311E-2</v>
      </c>
      <c r="I1338">
        <f>-0.100888713692308*(0.3)</f>
        <v>-3.0266614107692311E-2</v>
      </c>
      <c r="J1338">
        <f>0.0201777427384615*(0.3)</f>
        <v>6.0533228215384613E-3</v>
      </c>
      <c r="K1338">
        <f>-0.100888713692308*(0.3)</f>
        <v>-3.0266614107692311E-2</v>
      </c>
      <c r="L1338">
        <f>-0.0494354697092308*(0.3)</f>
        <v>-1.4830640912769231E-2</v>
      </c>
      <c r="M1338">
        <f>-0.110977585061538*(0.3)</f>
        <v>-3.3293275518461542E-2</v>
      </c>
      <c r="N1338">
        <f>-0.100888713692308*(0.3)</f>
        <v>-3.0266614107692311E-2</v>
      </c>
    </row>
    <row r="1339" spans="1:14" x14ac:dyDescent="0.25">
      <c r="A1339">
        <f>-31.08705321*(0.3)</f>
        <v>-9.3261159629999995</v>
      </c>
      <c r="B1339">
        <f>2.39131178538462*(0.3)</f>
        <v>0.71739353561538466</v>
      </c>
      <c r="C1339">
        <f>7.17393535615385*(0.3)</f>
        <v>2.1521806068461538</v>
      </c>
      <c r="D1339">
        <f>2.39131178538462*(0.3)</f>
        <v>0.71739353561538466</v>
      </c>
      <c r="E1339">
        <f>2.39131178538462*(0.3)</f>
        <v>0.71739353561538466</v>
      </c>
      <c r="F1339">
        <f>2.39131178538462*(0.3)</f>
        <v>0.71739353561538466</v>
      </c>
      <c r="G1339">
        <f>1.43478707123077*(0.3)</f>
        <v>0.43043612136923076</v>
      </c>
      <c r="H1339">
        <f>2.39131178538462*(0.3)</f>
        <v>0.71739353561538466</v>
      </c>
      <c r="I1339">
        <f>2.39131178538462*(0.3)</f>
        <v>0.71739353561538466</v>
      </c>
      <c r="J1339">
        <f>-0.478262357076923*(0.3)</f>
        <v>-0.14347870712307689</v>
      </c>
      <c r="K1339">
        <f>2.39131178538462*(0.3)</f>
        <v>0.71739353561538466</v>
      </c>
      <c r="L1339">
        <f>1.17174277483846*(0.3)</f>
        <v>0.35152283245153848</v>
      </c>
      <c r="M1339">
        <f>2.63044296392308*(0.3)</f>
        <v>0.78913288917692315</v>
      </c>
      <c r="N1339">
        <f>2.39131178538462*(0.3)</f>
        <v>0.71739353561538466</v>
      </c>
    </row>
    <row r="1340" spans="1:14" x14ac:dyDescent="0.25">
      <c r="A1340">
        <f>1.842285605*(0.3)</f>
        <v>0.55268568149999997</v>
      </c>
      <c r="B1340">
        <f>-0.141714277307692*(0.3)</f>
        <v>-4.2514283192307691E-2</v>
      </c>
      <c r="C1340">
        <f>-0.425142831923077*(0.3)</f>
        <v>-0.12754284957692308</v>
      </c>
      <c r="D1340">
        <f>-0.141714277307692*(0.3)</f>
        <v>-4.2514283192307691E-2</v>
      </c>
      <c r="E1340">
        <f>-0.141714277307692*(0.3)</f>
        <v>-4.2514283192307691E-2</v>
      </c>
      <c r="F1340">
        <f>-0.141714277307692*(0.3)</f>
        <v>-4.2514283192307691E-2</v>
      </c>
      <c r="G1340">
        <f>-0.0850285663846154*(0.3)</f>
        <v>-2.5508569915384614E-2</v>
      </c>
      <c r="H1340">
        <f>-0.141714277307692*(0.3)</f>
        <v>-4.2514283192307691E-2</v>
      </c>
      <c r="I1340">
        <f>-0.141714277307692*(0.3)</f>
        <v>-4.2514283192307691E-2</v>
      </c>
      <c r="J1340">
        <f>0.0283428554615385*(0.3)</f>
        <v>8.5028566384615367E-3</v>
      </c>
      <c r="K1340">
        <f>-0.141714277307692*(0.3)</f>
        <v>-4.2514283192307691E-2</v>
      </c>
      <c r="L1340">
        <f>-0.0694399958807692*(0.3)</f>
        <v>-2.083199876423077E-2</v>
      </c>
      <c r="M1340">
        <f>-0.155885705038462*(0.3)</f>
        <v>-4.6765711511538466E-2</v>
      </c>
      <c r="N1340">
        <f>-0.141714277307692*(0.3)</f>
        <v>-4.2514283192307691E-2</v>
      </c>
    </row>
    <row r="1341" spans="1:14" x14ac:dyDescent="0.25">
      <c r="A1341">
        <f>-33.96677323*(0.3)</f>
        <v>-10.190031969</v>
      </c>
      <c r="B1341">
        <f>2.61282871*(0.3)</f>
        <v>0.78384861299999997</v>
      </c>
      <c r="C1341">
        <f>7.83848613*(0.3)</f>
        <v>2.3515458389999999</v>
      </c>
      <c r="D1341">
        <f>2.61282871*(0.3)</f>
        <v>0.78384861299999997</v>
      </c>
      <c r="E1341">
        <f>2.61282871*(0.3)</f>
        <v>0.78384861299999997</v>
      </c>
      <c r="F1341">
        <f>2.61282871*(0.3)</f>
        <v>0.78384861299999997</v>
      </c>
      <c r="G1341">
        <f>1.567697226*(0.3)</f>
        <v>0.47030916779999998</v>
      </c>
      <c r="H1341">
        <f>2.61282871*(0.3)</f>
        <v>0.78384861299999997</v>
      </c>
      <c r="I1341">
        <f>2.61282871*(0.3)</f>
        <v>0.78384861299999997</v>
      </c>
      <c r="J1341">
        <f>-0.522565742*(0.3)</f>
        <v>-0.15676972259999997</v>
      </c>
      <c r="K1341">
        <f>2.61282871*(0.3)</f>
        <v>0.78384861299999997</v>
      </c>
      <c r="L1341">
        <f>1.2802860679*(0.3)</f>
        <v>0.38408582037</v>
      </c>
      <c r="M1341">
        <f>2.874111581*(0.3)</f>
        <v>0.86223347430000008</v>
      </c>
      <c r="N1341">
        <f>2.61282871*(0.3)</f>
        <v>0.78384861299999997</v>
      </c>
    </row>
    <row r="1342" spans="1:14" x14ac:dyDescent="0.25">
      <c r="A1342">
        <f>-1.049160195*(0.3)</f>
        <v>-0.31474805849999998</v>
      </c>
      <c r="B1342">
        <f>0.0807046303846154*(0.3)</f>
        <v>2.4211389115384615E-2</v>
      </c>
      <c r="C1342">
        <f>0.242113891153846*(0.3)</f>
        <v>7.2634167346153841E-2</v>
      </c>
      <c r="D1342">
        <f>0.0807046303846154*(0.3)</f>
        <v>2.4211389115384615E-2</v>
      </c>
      <c r="E1342">
        <f>0.0807046303846154*(0.3)</f>
        <v>2.4211389115384615E-2</v>
      </c>
      <c r="F1342">
        <f>0.0807046303846154*(0.3)</f>
        <v>2.4211389115384615E-2</v>
      </c>
      <c r="G1342">
        <f>0.0484227782307692*(0.3)</f>
        <v>1.4526833469230768E-2</v>
      </c>
      <c r="H1342">
        <f>0.0807046303846154*(0.3)</f>
        <v>2.4211389115384615E-2</v>
      </c>
      <c r="I1342">
        <f>0.0807046303846154*(0.3)</f>
        <v>2.4211389115384615E-2</v>
      </c>
      <c r="J1342">
        <f>-0.0161409260769231*(0.3)</f>
        <v>-4.8422778230769216E-3</v>
      </c>
      <c r="K1342">
        <f>0.0807046303846154*(0.3)</f>
        <v>2.4211389115384615E-2</v>
      </c>
      <c r="L1342">
        <f>0.0395452688884615*(0.3)</f>
        <v>1.186358066653846E-2</v>
      </c>
      <c r="M1342">
        <f>0.0887750934230769*(0.3)</f>
        <v>2.6632528026923074E-2</v>
      </c>
      <c r="N1342">
        <f>0.0807046303846154*(0.3)</f>
        <v>2.4211389115384615E-2</v>
      </c>
    </row>
    <row r="1343" spans="1:14" x14ac:dyDescent="0.25">
      <c r="A1343">
        <f>-39.87735864*(0.3)</f>
        <v>-11.963207591999998</v>
      </c>
      <c r="B1343">
        <f>3.06748912615385*(0.3)</f>
        <v>0.92024673784615363</v>
      </c>
      <c r="C1343">
        <f>9.20246737846154*(0.3)</f>
        <v>2.7607402135384613</v>
      </c>
      <c r="D1343">
        <f>3.06748912615385*(0.3)</f>
        <v>0.92024673784615363</v>
      </c>
      <c r="E1343">
        <f>3.06748912615385*(0.3)</f>
        <v>0.92024673784615363</v>
      </c>
      <c r="F1343">
        <f>3.06748912615385*(0.3)</f>
        <v>0.92024673784615363</v>
      </c>
      <c r="G1343">
        <f>1.84049347569231*(0.3)</f>
        <v>0.55214804270769213</v>
      </c>
      <c r="H1343">
        <f>3.06748912615385*(0.3)</f>
        <v>0.92024673784615363</v>
      </c>
      <c r="I1343">
        <f>3.06748912615385*(0.3)</f>
        <v>0.92024673784615363</v>
      </c>
      <c r="J1343">
        <f>-0.613497825230769*(0.3)</f>
        <v>-0.18404934756923069</v>
      </c>
      <c r="K1343">
        <f>3.06748912615385*(0.3)</f>
        <v>0.92024673784615363</v>
      </c>
      <c r="L1343">
        <f>1.50306967181538*(0.3)</f>
        <v>0.45092090154461528</v>
      </c>
      <c r="M1343">
        <f>3.37423803876923*(0.3)</f>
        <v>1.0122714116307692</v>
      </c>
      <c r="N1343">
        <f>3.06748912615385*(0.3)</f>
        <v>0.92024673784615363</v>
      </c>
    </row>
    <row r="1344" spans="1:14" x14ac:dyDescent="0.25">
      <c r="A1344">
        <f>-2.007878984*(0.3)</f>
        <v>-0.60236369519999999</v>
      </c>
      <c r="B1344">
        <f>0.154452229538462*(0.3)</f>
        <v>4.6335668861538462E-2</v>
      </c>
      <c r="C1344">
        <f>0.463356688615385*(0.3)</f>
        <v>0.1390070065846154</v>
      </c>
      <c r="D1344">
        <f>0.154452229538462*(0.3)</f>
        <v>4.6335668861538462E-2</v>
      </c>
      <c r="E1344">
        <f>0.154452229538462*(0.3)</f>
        <v>4.6335668861538462E-2</v>
      </c>
      <c r="F1344">
        <f>0.154452229538462*(0.3)</f>
        <v>4.6335668861538462E-2</v>
      </c>
      <c r="G1344">
        <f>0.0926713377230769*(0.3)</f>
        <v>2.7801401316923078E-2</v>
      </c>
      <c r="H1344">
        <f>0.154452229538462*(0.3)</f>
        <v>4.6335668861538462E-2</v>
      </c>
      <c r="I1344">
        <f>0.154452229538462*(0.3)</f>
        <v>4.6335668861538462E-2</v>
      </c>
      <c r="J1344">
        <f>-0.0308904459076923*(0.3)</f>
        <v>-9.2671337723076903E-3</v>
      </c>
      <c r="K1344">
        <f>0.154452229538462*(0.3)</f>
        <v>4.6335668861538462E-2</v>
      </c>
      <c r="L1344">
        <f>0.0756815924738462*(0.3)</f>
        <v>2.2704477742153849E-2</v>
      </c>
      <c r="M1344">
        <f>0.169897452492308*(0.3)</f>
        <v>5.0969235747692319E-2</v>
      </c>
      <c r="N1344">
        <f>0.154452229538462*(0.3)</f>
        <v>4.6335668861538462E-2</v>
      </c>
    </row>
    <row r="1345" spans="1:14" x14ac:dyDescent="0.25">
      <c r="A1345">
        <f>43.51725684*(0.3)</f>
        <v>13.055177051999999</v>
      </c>
      <c r="B1345">
        <f>-3.34748129538462*(0.3)</f>
        <v>-1.0042443886153847</v>
      </c>
      <c r="C1345">
        <f>-10.0424438861538*(0.3)</f>
        <v>-3.012733165846154</v>
      </c>
      <c r="D1345">
        <f>-3.34748129538462*(0.3)</f>
        <v>-1.0042443886153847</v>
      </c>
      <c r="E1345">
        <f>-3.34748129538462*(0.3)</f>
        <v>-1.0042443886153847</v>
      </c>
      <c r="F1345">
        <f>-3.34748129538462*(0.3)</f>
        <v>-1.0042443886153847</v>
      </c>
      <c r="G1345">
        <f>-2.00848877723077*(0.3)</f>
        <v>-0.60254663316923074</v>
      </c>
      <c r="H1345">
        <f>-3.34748129538462*(0.3)</f>
        <v>-1.0042443886153847</v>
      </c>
      <c r="I1345">
        <f>-3.34748129538462*(0.3)</f>
        <v>-1.0042443886153847</v>
      </c>
      <c r="J1345">
        <f>0.669496259076923*(0.3)</f>
        <v>0.20084887772307689</v>
      </c>
      <c r="K1345">
        <f>-3.34748129538462*(0.3)</f>
        <v>-1.0042443886153847</v>
      </c>
      <c r="L1345">
        <f>-1.64026583473846*(0.3)</f>
        <v>-0.49207975042153845</v>
      </c>
      <c r="M1345">
        <f>-3.68222942492308*(0.3)</f>
        <v>-1.1046688274769232</v>
      </c>
      <c r="N1345">
        <f>-3.34748129538462*(0.3)</f>
        <v>-1.0042443886153847</v>
      </c>
    </row>
    <row r="1346" spans="1:14" x14ac:dyDescent="0.25">
      <c r="A1346">
        <f>751.7149521*(0.3)</f>
        <v>225.51448563</v>
      </c>
      <c r="B1346">
        <f>-57.8242270846154*(0.3)</f>
        <v>-17.347268125384616</v>
      </c>
      <c r="C1346">
        <f>-173.472681253846*(0.3)</f>
        <v>-52.041804376153848</v>
      </c>
      <c r="D1346">
        <f>-57.8242270846154*(0.3)</f>
        <v>-17.347268125384616</v>
      </c>
      <c r="E1346">
        <f>-57.8242270846154*(0.3)</f>
        <v>-17.347268125384616</v>
      </c>
      <c r="F1346">
        <f>-57.8242270846154*(0.3)</f>
        <v>-17.347268125384616</v>
      </c>
      <c r="G1346">
        <f>-34.6945362507692*(0.3)</f>
        <v>-10.40836087523077</v>
      </c>
      <c r="H1346">
        <f>-57.8242270846154*(0.3)</f>
        <v>-17.347268125384616</v>
      </c>
      <c r="I1346">
        <f>-57.8242270846154*(0.3)</f>
        <v>-17.347268125384616</v>
      </c>
      <c r="J1346">
        <f>11.5648454169231*(0.3)</f>
        <v>3.4694536250769228</v>
      </c>
      <c r="K1346">
        <f>-57.8242270846154*(0.3)</f>
        <v>-17.347268125384616</v>
      </c>
      <c r="L1346">
        <f>-28.3338712714615*(0.3)</f>
        <v>-8.5001613814384616</v>
      </c>
      <c r="M1346">
        <f>-63.6066497930769*(0.3)</f>
        <v>-19.081994937923078</v>
      </c>
      <c r="N1346">
        <f>-57.8242270846154*(0.3)</f>
        <v>-17.347268125384616</v>
      </c>
    </row>
    <row r="1347" spans="1:14" x14ac:dyDescent="0.25">
      <c r="A1347">
        <f>62.91601721*(0.3)</f>
        <v>18.874805162999998</v>
      </c>
      <c r="B1347">
        <f>-4.83969363153846*(0.3)</f>
        <v>-1.4519080894615384</v>
      </c>
      <c r="C1347">
        <f>-14.5190808946154*(0.3)</f>
        <v>-4.3557242683846145</v>
      </c>
      <c r="D1347">
        <f>-4.83969363153846*(0.3)</f>
        <v>-1.4519080894615384</v>
      </c>
      <c r="E1347">
        <f>-4.83969363153846*(0.3)</f>
        <v>-1.4519080894615384</v>
      </c>
      <c r="F1347">
        <f>-4.83969363153846*(0.3)</f>
        <v>-1.4519080894615384</v>
      </c>
      <c r="G1347">
        <f>-2.90381617892308*(0.3)</f>
        <v>-0.87114485367692296</v>
      </c>
      <c r="H1347">
        <f>-4.83969363153846*(0.3)</f>
        <v>-1.4519080894615384</v>
      </c>
      <c r="I1347">
        <f>-4.83969363153846*(0.3)</f>
        <v>-1.4519080894615384</v>
      </c>
      <c r="J1347">
        <f>0.967938726307692*(0.3)</f>
        <v>0.2903816178923076</v>
      </c>
      <c r="K1347">
        <f>-4.83969363153846*(0.3)</f>
        <v>-1.4519080894615384</v>
      </c>
      <c r="L1347">
        <f>-2.37144987945385*(0.3)</f>
        <v>-0.71143496383615379</v>
      </c>
      <c r="M1347">
        <f>-5.32366299469231*(0.3)</f>
        <v>-1.5970988984076924</v>
      </c>
      <c r="N1347">
        <f>-4.83969363153846*(0.3)</f>
        <v>-1.4519080894615384</v>
      </c>
    </row>
    <row r="1348" spans="1:14" x14ac:dyDescent="0.25">
      <c r="A1348">
        <f>1010.96175*(0.3)</f>
        <v>303.28852499999999</v>
      </c>
      <c r="B1348">
        <f>-77.7662884615385*(0.3)</f>
        <v>-23.32988653846154</v>
      </c>
      <c r="C1348">
        <f>-233.298865384615*(0.3)</f>
        <v>-69.98965961538461</v>
      </c>
      <c r="D1348">
        <f>-77.7662884615385*(0.3)</f>
        <v>-23.32988653846154</v>
      </c>
      <c r="E1348">
        <f>-77.7662884615385*(0.3)</f>
        <v>-23.32988653846154</v>
      </c>
      <c r="F1348">
        <f>-77.7662884615385*(0.3)</f>
        <v>-23.32988653846154</v>
      </c>
      <c r="G1348">
        <f>-46.6597730769231*(0.3)</f>
        <v>-13.997931923076925</v>
      </c>
      <c r="H1348">
        <f>-77.7662884615385*(0.3)</f>
        <v>-23.32988653846154</v>
      </c>
      <c r="I1348">
        <f>-77.7662884615385*(0.3)</f>
        <v>-23.32988653846154</v>
      </c>
      <c r="J1348">
        <f>15.5532576923077*(0.3)</f>
        <v>4.6659773076923061</v>
      </c>
      <c r="K1348">
        <f>-77.7662884615385*(0.3)</f>
        <v>-23.32988653846154</v>
      </c>
      <c r="L1348">
        <f>-38.1054813461538*(0.3)</f>
        <v>-11.431644403846153</v>
      </c>
      <c r="M1348">
        <f>-85.5429173076923*(0.3)</f>
        <v>-25.662875192307695</v>
      </c>
      <c r="N1348">
        <f>-77.7662884615385*(0.3)</f>
        <v>-23.32988653846154</v>
      </c>
    </row>
    <row r="1349" spans="1:14" x14ac:dyDescent="0.25">
      <c r="A1349">
        <f>79.73841705*(0.3)</f>
        <v>23.921525114999998</v>
      </c>
      <c r="B1349">
        <f>-6.13372438846154*(0.3)</f>
        <v>-1.8401173165384614</v>
      </c>
      <c r="C1349">
        <f>-18.4011731653846*(0.3)</f>
        <v>-5.5203519496153843</v>
      </c>
      <c r="D1349">
        <f>-6.13372438846154*(0.3)</f>
        <v>-1.8401173165384614</v>
      </c>
      <c r="E1349">
        <f>-6.13372438846154*(0.3)</f>
        <v>-1.8401173165384614</v>
      </c>
      <c r="F1349">
        <f>-6.13372438846154*(0.3)</f>
        <v>-1.8401173165384614</v>
      </c>
      <c r="G1349">
        <f>-3.68023463307692*(0.3)</f>
        <v>-1.1040703899230768</v>
      </c>
      <c r="H1349">
        <f>-6.13372438846154*(0.3)</f>
        <v>-1.8401173165384614</v>
      </c>
      <c r="I1349">
        <f>-6.13372438846154*(0.3)</f>
        <v>-1.8401173165384614</v>
      </c>
      <c r="J1349">
        <f>1.22674487769231*(0.3)</f>
        <v>0.3680234633076922</v>
      </c>
      <c r="K1349">
        <f>-6.13372438846154*(0.3)</f>
        <v>-1.8401173165384614</v>
      </c>
      <c r="L1349">
        <f>-3.00552495034615*(0.3)</f>
        <v>-0.90165748510384602</v>
      </c>
      <c r="M1349">
        <f>-6.74709682730769*(0.3)</f>
        <v>-2.0241290481923078</v>
      </c>
      <c r="N1349">
        <f>-6.13372438846154*(0.3)</f>
        <v>-1.8401173165384614</v>
      </c>
    </row>
    <row r="1350" spans="1:14" x14ac:dyDescent="0.25">
      <c r="A1350">
        <f>1278.181661*(0.3)</f>
        <v>383.45449830000001</v>
      </c>
      <c r="B1350">
        <f>-98.3216662307692*(0.3)</f>
        <v>-29.496499869230771</v>
      </c>
      <c r="C1350">
        <f>-294.964998692308*(0.3)</f>
        <v>-88.489499607692323</v>
      </c>
      <c r="D1350">
        <f>-98.3216662307692*(0.3)</f>
        <v>-29.496499869230771</v>
      </c>
      <c r="E1350">
        <f>-98.3216662307692*(0.3)</f>
        <v>-29.496499869230771</v>
      </c>
      <c r="F1350">
        <f>-98.3216662307692*(0.3)</f>
        <v>-29.496499869230771</v>
      </c>
      <c r="G1350">
        <f>-58.9929997384615*(0.3)</f>
        <v>-17.697899921538461</v>
      </c>
      <c r="H1350">
        <f>-98.3216662307692*(0.3)</f>
        <v>-29.496499869230771</v>
      </c>
      <c r="I1350">
        <f>-98.3216662307692*(0.3)</f>
        <v>-29.496499869230771</v>
      </c>
      <c r="J1350">
        <f>19.6643332461538*(0.3)</f>
        <v>5.8992999738461531</v>
      </c>
      <c r="K1350">
        <f>-98.3216662307692*(0.3)</f>
        <v>-29.496499869230771</v>
      </c>
      <c r="L1350">
        <f>-48.1776164530769*(0.3)</f>
        <v>-14.453284935923078</v>
      </c>
      <c r="M1350">
        <f>-108.153832853846*(0.3)</f>
        <v>-32.446149856153852</v>
      </c>
      <c r="N1350">
        <f>-98.3216662307692*(0.3)</f>
        <v>-29.496499869230771</v>
      </c>
    </row>
    <row r="1351" spans="1:14" x14ac:dyDescent="0.25">
      <c r="A1351">
        <f>90.91819378*(0.3)</f>
        <v>27.275458133999997</v>
      </c>
      <c r="B1351">
        <f>-6.99370721384615*(0.3)</f>
        <v>-2.098112164153846</v>
      </c>
      <c r="C1351">
        <f>-20.9811216415385*(0.3)</f>
        <v>-6.2943364924615386</v>
      </c>
      <c r="D1351">
        <f>-6.99370721384615*(0.3)</f>
        <v>-2.098112164153846</v>
      </c>
      <c r="E1351">
        <f>-6.99370721384615*(0.3)</f>
        <v>-2.098112164153846</v>
      </c>
      <c r="F1351">
        <f>-6.99370721384615*(0.3)</f>
        <v>-2.098112164153846</v>
      </c>
      <c r="G1351">
        <f>-4.19622432830769*(0.3)</f>
        <v>-1.2588672984923075</v>
      </c>
      <c r="H1351">
        <f>-6.99370721384615*(0.3)</f>
        <v>-2.098112164153846</v>
      </c>
      <c r="I1351">
        <f>-6.99370721384615*(0.3)</f>
        <v>-2.098112164153846</v>
      </c>
      <c r="J1351">
        <f>1.39874144276923*(0.3)</f>
        <v>0.41962243283076911</v>
      </c>
      <c r="K1351">
        <f>-6.99370721384615*(0.3)</f>
        <v>-2.098112164153846</v>
      </c>
      <c r="L1351">
        <f>-3.42691653478462*(0.3)</f>
        <v>-1.0280749604353845</v>
      </c>
      <c r="M1351">
        <f>-7.69307793523077*(0.3)</f>
        <v>-2.307923380569231</v>
      </c>
      <c r="N1351">
        <f>-6.99370721384615*(0.3)</f>
        <v>-2.098112164153846</v>
      </c>
    </row>
    <row r="1352" spans="1:14" x14ac:dyDescent="0.25">
      <c r="A1352">
        <f>1544.604859*(0.3)</f>
        <v>463.3814577</v>
      </c>
      <c r="B1352">
        <f>-118.815758384615*(0.3)</f>
        <v>-35.644727515384616</v>
      </c>
      <c r="C1352">
        <f>-356.447275153846*(0.3)</f>
        <v>-106.93418254615385</v>
      </c>
      <c r="D1352">
        <f>-118.815758384615*(0.3)</f>
        <v>-35.644727515384616</v>
      </c>
      <c r="E1352">
        <f>-118.815758384615*(0.3)</f>
        <v>-35.644727515384616</v>
      </c>
      <c r="F1352">
        <f>-118.815758384615*(0.3)</f>
        <v>-35.644727515384616</v>
      </c>
      <c r="G1352">
        <f>-71.2894550307692*(0.3)</f>
        <v>-21.386836509230768</v>
      </c>
      <c r="H1352">
        <f>-118.815758384615*(0.3)</f>
        <v>-35.644727515384616</v>
      </c>
      <c r="I1352">
        <f>-118.815758384615*(0.3)</f>
        <v>-35.644727515384616</v>
      </c>
      <c r="J1352">
        <f>23.7631516769231*(0.3)</f>
        <v>7.1289455030769213</v>
      </c>
      <c r="K1352">
        <f>-118.815758384615*(0.3)</f>
        <v>-35.644727515384616</v>
      </c>
      <c r="L1352">
        <f>-58.2197216084615*(0.3)</f>
        <v>-17.465916482538461</v>
      </c>
      <c r="M1352">
        <f>-130.697334223077*(0.3)</f>
        <v>-39.209200266923084</v>
      </c>
      <c r="N1352">
        <f>-118.815758384615*(0.3)</f>
        <v>-35.644727515384616</v>
      </c>
    </row>
    <row r="1353" spans="1:14" x14ac:dyDescent="0.25">
      <c r="A1353">
        <f>102.937879*(0.3)</f>
        <v>30.881363699999998</v>
      </c>
      <c r="B1353">
        <f>-7.91829838461538*(0.3)</f>
        <v>-2.3754895153846149</v>
      </c>
      <c r="C1353">
        <f>-23.7548951538462*(0.3)</f>
        <v>-7.1264685461538457</v>
      </c>
      <c r="D1353">
        <f>-7.91829838461538*(0.3)</f>
        <v>-2.3754895153846149</v>
      </c>
      <c r="E1353">
        <f>-7.91829838461538*(0.3)</f>
        <v>-2.3754895153846149</v>
      </c>
      <c r="F1353">
        <f>-7.91829838461538*(0.3)</f>
        <v>-2.3754895153846149</v>
      </c>
      <c r="G1353">
        <f>-4.75097903076923*(0.3)</f>
        <v>-1.4252937092307689</v>
      </c>
      <c r="H1353">
        <f>-7.91829838461538*(0.3)</f>
        <v>-2.3754895153846149</v>
      </c>
      <c r="I1353">
        <f>-7.91829838461538*(0.3)</f>
        <v>-2.3754895153846149</v>
      </c>
      <c r="J1353">
        <f>1.58365967692308*(0.3)</f>
        <v>0.4750979030769229</v>
      </c>
      <c r="K1353">
        <f>-7.91829838461538*(0.3)</f>
        <v>-2.3754895153846149</v>
      </c>
      <c r="L1353">
        <f>-3.87996620846154*(0.3)</f>
        <v>-1.1639898625384615</v>
      </c>
      <c r="M1353">
        <f>-8.71012822307692*(0.3)</f>
        <v>-2.6130384669230771</v>
      </c>
      <c r="N1353">
        <f>-7.91829838461538*(0.3)</f>
        <v>-2.3754895153846149</v>
      </c>
    </row>
    <row r="1354" spans="1:14" x14ac:dyDescent="0.25">
      <c r="A1354">
        <f>1820.597574*(0.3)</f>
        <v>546.1792721999999</v>
      </c>
      <c r="B1354">
        <f>-140.045967230769*(0.3)</f>
        <v>-42.013790169230766</v>
      </c>
      <c r="C1354">
        <f>-420.137901692308*(0.3)</f>
        <v>-126.04137050769231</v>
      </c>
      <c r="D1354">
        <f>-140.045967230769*(0.3)</f>
        <v>-42.013790169230766</v>
      </c>
      <c r="E1354">
        <f>-140.045967230769*(0.3)</f>
        <v>-42.013790169230766</v>
      </c>
      <c r="F1354">
        <f>-140.045967230769*(0.3)</f>
        <v>-42.013790169230766</v>
      </c>
      <c r="G1354">
        <f>-84.0275803384615*(0.3)</f>
        <v>-25.208274101538461</v>
      </c>
      <c r="H1354">
        <f>-140.045967230769*(0.3)</f>
        <v>-42.013790169230766</v>
      </c>
      <c r="I1354">
        <f>-140.045967230769*(0.3)</f>
        <v>-42.013790169230766</v>
      </c>
      <c r="J1354">
        <f>28.0091934461538*(0.3)</f>
        <v>8.4027580338461512</v>
      </c>
      <c r="K1354">
        <f>-140.045967230769*(0.3)</f>
        <v>-42.013790169230766</v>
      </c>
      <c r="L1354">
        <f>-68.6225239430769*(0.3)</f>
        <v>-20.586757182923076</v>
      </c>
      <c r="M1354">
        <f>-154.050563953846*(0.3)</f>
        <v>-46.215169186153851</v>
      </c>
      <c r="N1354">
        <f>-140.045967230769*(0.3)</f>
        <v>-42.013790169230766</v>
      </c>
    </row>
    <row r="1355" spans="1:14" x14ac:dyDescent="0.25">
      <c r="A1355">
        <f>116.322469*(0.3)</f>
        <v>34.896740699999995</v>
      </c>
      <c r="B1355">
        <f>-8.94788223076923*(0.3)</f>
        <v>-2.6843646692307694</v>
      </c>
      <c r="C1355">
        <f>-26.8436466923077*(0.3)</f>
        <v>-8.053094007692307</v>
      </c>
      <c r="D1355">
        <f>-8.94788223076923*(0.3)</f>
        <v>-2.6843646692307694</v>
      </c>
      <c r="E1355">
        <f>-8.94788223076923*(0.3)</f>
        <v>-2.6843646692307694</v>
      </c>
      <c r="F1355">
        <f>-8.94788223076923*(0.3)</f>
        <v>-2.6843646692307694</v>
      </c>
      <c r="G1355">
        <f>-5.36872933846154*(0.3)</f>
        <v>-1.6106188015384617</v>
      </c>
      <c r="H1355">
        <f>-8.94788223076923*(0.3)</f>
        <v>-2.6843646692307694</v>
      </c>
      <c r="I1355">
        <f>-8.94788223076923*(0.3)</f>
        <v>-2.6843646692307694</v>
      </c>
      <c r="J1355">
        <f>1.78957644615385*(0.3)</f>
        <v>0.53687293384615375</v>
      </c>
      <c r="K1355">
        <f>-8.94788223076923*(0.3)</f>
        <v>-2.6843646692307694</v>
      </c>
      <c r="L1355">
        <f>-4.38446229307692*(0.3)</f>
        <v>-1.3153386879230768</v>
      </c>
      <c r="M1355">
        <f>-9.84267045384616*(0.3)</f>
        <v>-2.9528011361538464</v>
      </c>
      <c r="N1355">
        <f>-8.94788223076923*(0.3)</f>
        <v>-2.6843646692307694</v>
      </c>
    </row>
    <row r="1356" spans="1:14" x14ac:dyDescent="0.25">
      <c r="A1356">
        <f>2100.266701*(0.3)</f>
        <v>630.08001030000003</v>
      </c>
      <c r="B1356">
        <f>-161.558977*(0.3)</f>
        <v>-48.467693099999998</v>
      </c>
      <c r="C1356">
        <f>-484.676931*(0.3)</f>
        <v>-145.40307929999997</v>
      </c>
      <c r="D1356">
        <f>-161.558977*(0.3)</f>
        <v>-48.467693099999998</v>
      </c>
      <c r="E1356">
        <f>-161.558977*(0.3)</f>
        <v>-48.467693099999998</v>
      </c>
      <c r="F1356">
        <f>-161.558977*(0.3)</f>
        <v>-48.467693099999998</v>
      </c>
      <c r="G1356">
        <f>-96.9353862*(0.3)</f>
        <v>-29.080615859999998</v>
      </c>
      <c r="H1356">
        <f>-161.558977*(0.3)</f>
        <v>-48.467693099999998</v>
      </c>
      <c r="I1356">
        <f>-161.558977*(0.3)</f>
        <v>-48.467693099999998</v>
      </c>
      <c r="J1356">
        <f>32.3117954*(0.3)</f>
        <v>9.6935386199999982</v>
      </c>
      <c r="K1356">
        <f>-161.558977*(0.3)</f>
        <v>-48.467693099999998</v>
      </c>
      <c r="L1356">
        <f>-79.16389873*(0.3)</f>
        <v>-23.749169619</v>
      </c>
      <c r="M1356">
        <f>-177.7148747*(0.3)</f>
        <v>-53.314462410000004</v>
      </c>
      <c r="N1356">
        <f>-161.558977*(0.3)</f>
        <v>-48.467693099999998</v>
      </c>
    </row>
    <row r="1357" spans="1:14" x14ac:dyDescent="0.25">
      <c r="A1357">
        <f>123.7665766*(0.3)</f>
        <v>37.129972979999998</v>
      </c>
      <c r="B1357">
        <f>-9.52050589230769*(0.3)</f>
        <v>-2.8561517676923076</v>
      </c>
      <c r="C1357">
        <f>-28.5615176769231*(0.3)</f>
        <v>-8.5684553030769237</v>
      </c>
      <c r="D1357">
        <f>-9.52050589230769*(0.3)</f>
        <v>-2.8561517676923076</v>
      </c>
      <c r="E1357">
        <f>-9.52050589230769*(0.3)</f>
        <v>-2.8561517676923076</v>
      </c>
      <c r="F1357">
        <f>-9.52050589230769*(0.3)</f>
        <v>-2.8561517676923076</v>
      </c>
      <c r="G1357">
        <f>-5.71230353538462*(0.3)</f>
        <v>-1.7136910606153846</v>
      </c>
      <c r="H1357">
        <f>-9.52050589230769*(0.3)</f>
        <v>-2.8561517676923076</v>
      </c>
      <c r="I1357">
        <f>-9.52050589230769*(0.3)</f>
        <v>-2.8561517676923076</v>
      </c>
      <c r="J1357">
        <f>1.90410117846154*(0.3)</f>
        <v>0.57123035353846141</v>
      </c>
      <c r="K1357">
        <f>-9.52050589230769*(0.3)</f>
        <v>-2.8561517676923076</v>
      </c>
      <c r="L1357">
        <f>-4.66504788723077*(0.3)</f>
        <v>-1.3995143661692306</v>
      </c>
      <c r="M1357">
        <f>-10.4725564815385*(0.3)</f>
        <v>-3.1417669444615388</v>
      </c>
      <c r="N1357">
        <f>-9.52050589230769*(0.3)</f>
        <v>-2.8561517676923076</v>
      </c>
    </row>
    <row r="1358" spans="1:14" x14ac:dyDescent="0.25">
      <c r="A1358">
        <f>2381.558909*(0.3)</f>
        <v>714.46767269999998</v>
      </c>
      <c r="B1358">
        <f>-183.196839153846*(0.3)</f>
        <v>-54.959051746153847</v>
      </c>
      <c r="C1358">
        <f>-549.590517461538*(0.3)</f>
        <v>-164.87715523846151</v>
      </c>
      <c r="D1358">
        <f>-183.196839153846*(0.3)</f>
        <v>-54.959051746153847</v>
      </c>
      <c r="E1358">
        <f>-183.196839153846*(0.3)</f>
        <v>-54.959051746153847</v>
      </c>
      <c r="F1358">
        <f>-183.196839153846*(0.3)</f>
        <v>-54.959051746153847</v>
      </c>
      <c r="G1358">
        <f>-109.918103492308*(0.3)</f>
        <v>-32.975431047692304</v>
      </c>
      <c r="H1358">
        <f>-183.196839153846*(0.3)</f>
        <v>-54.959051746153847</v>
      </c>
      <c r="I1358">
        <f>-183.196839153846*(0.3)</f>
        <v>-54.959051746153847</v>
      </c>
      <c r="J1358">
        <f>36.6393678307692*(0.3)</f>
        <v>10.991810349230766</v>
      </c>
      <c r="K1358">
        <f>-183.196839153846*(0.3)</f>
        <v>-54.959051746153847</v>
      </c>
      <c r="L1358">
        <f>-89.7664511853846*(0.3)</f>
        <v>-26.929935355615381</v>
      </c>
      <c r="M1358">
        <f>-201.516523069231*(0.3)</f>
        <v>-60.454956920769234</v>
      </c>
      <c r="N1358">
        <f>-183.196839153846*(0.3)</f>
        <v>-54.959051746153847</v>
      </c>
    </row>
    <row r="1359" spans="1:14" x14ac:dyDescent="0.25">
      <c r="A1359">
        <f>132.6506485*(0.3)</f>
        <v>39.795194549999998</v>
      </c>
      <c r="B1359">
        <f>-10.2038960384615*(0.3)</f>
        <v>-3.0611688115384612</v>
      </c>
      <c r="C1359">
        <f>-30.6116881153846*(0.3)</f>
        <v>-9.183506434615385</v>
      </c>
      <c r="D1359">
        <f>-10.2038960384615*(0.3)</f>
        <v>-3.0611688115384612</v>
      </c>
      <c r="E1359">
        <f>-10.2038960384615*(0.3)</f>
        <v>-3.0611688115384612</v>
      </c>
      <c r="F1359">
        <f>-10.2038960384615*(0.3)</f>
        <v>-3.0611688115384612</v>
      </c>
      <c r="G1359">
        <f>-6.12233762307692*(0.3)</f>
        <v>-1.8367012869230765</v>
      </c>
      <c r="H1359">
        <f>-10.2038960384615*(0.3)</f>
        <v>-3.0611688115384612</v>
      </c>
      <c r="I1359">
        <f>-10.2038960384615*(0.3)</f>
        <v>-3.0611688115384612</v>
      </c>
      <c r="J1359">
        <f>2.04077920769231*(0.3)</f>
        <v>0.61223376230769211</v>
      </c>
      <c r="K1359">
        <f>-10.2038960384615*(0.3)</f>
        <v>-3.0611688115384612</v>
      </c>
      <c r="L1359">
        <f>-4.99990905884615*(0.3)</f>
        <v>-1.499972717653846</v>
      </c>
      <c r="M1359">
        <f>-11.2242856423077*(0.3)</f>
        <v>-3.3672856926923078</v>
      </c>
      <c r="N1359">
        <f>-10.2038960384615*(0.3)</f>
        <v>-3.0611688115384612</v>
      </c>
    </row>
    <row r="1360" spans="1:14" x14ac:dyDescent="0.25">
      <c r="A1360">
        <f>2672.57951*(0.3)</f>
        <v>801.77385300000003</v>
      </c>
      <c r="B1360">
        <f>-205.583039230769*(0.3)</f>
        <v>-61.674911769230768</v>
      </c>
      <c r="C1360">
        <f>-616.749117692308*(0.3)</f>
        <v>-185.02473530769228</v>
      </c>
      <c r="D1360">
        <f>-205.583039230769*(0.3)</f>
        <v>-61.674911769230768</v>
      </c>
      <c r="E1360">
        <f>-205.583039230769*(0.3)</f>
        <v>-61.674911769230768</v>
      </c>
      <c r="F1360">
        <f>-205.583039230769*(0.3)</f>
        <v>-61.674911769230768</v>
      </c>
      <c r="G1360">
        <f>-123.349823538462*(0.3)</f>
        <v>-37.004947061538459</v>
      </c>
      <c r="H1360">
        <f>-205.583039230769*(0.3)</f>
        <v>-61.674911769230768</v>
      </c>
      <c r="I1360">
        <f>-205.583039230769*(0.3)</f>
        <v>-61.674911769230768</v>
      </c>
      <c r="J1360">
        <f>41.1166078461538*(0.3)</f>
        <v>12.334982353846152</v>
      </c>
      <c r="K1360">
        <f>-205.583039230769*(0.3)</f>
        <v>-61.674911769230768</v>
      </c>
      <c r="L1360">
        <f>-100.735689223077*(0.3)</f>
        <v>-30.220706766923072</v>
      </c>
      <c r="M1360">
        <f>-226.141343153846*(0.3)</f>
        <v>-67.842402946153854</v>
      </c>
      <c r="N1360">
        <f>-205.583039230769*(0.3)</f>
        <v>-61.674911769230768</v>
      </c>
    </row>
    <row r="1361" spans="1:14" x14ac:dyDescent="0.25">
      <c r="A1361">
        <f>-56.42050985*(0.3)</f>
        <v>-16.926152954999999</v>
      </c>
      <c r="B1361">
        <f>4.34003921923077*(0.3)</f>
        <v>1.3020117657692307</v>
      </c>
      <c r="C1361">
        <f>13.0201176576923*(0.3)</f>
        <v>3.9060352973076924</v>
      </c>
      <c r="D1361">
        <f>4.34003921923077*(0.3)</f>
        <v>1.3020117657692307</v>
      </c>
      <c r="E1361">
        <f>4.34003921923077*(0.3)</f>
        <v>1.3020117657692307</v>
      </c>
      <c r="F1361">
        <f>4.34003921923077*(0.3)</f>
        <v>1.3020117657692307</v>
      </c>
      <c r="G1361">
        <f>2.60402353153846*(0.3)</f>
        <v>0.78120705946153846</v>
      </c>
      <c r="H1361">
        <f>4.34003921923077*(0.3)</f>
        <v>1.3020117657692307</v>
      </c>
      <c r="I1361">
        <f>4.34003921923077*(0.3)</f>
        <v>1.3020117657692307</v>
      </c>
      <c r="J1361">
        <f>-0.868007843846154*(0.3)</f>
        <v>-0.26040235315384608</v>
      </c>
      <c r="K1361">
        <f>4.34003921923077*(0.3)</f>
        <v>1.3020117657692307</v>
      </c>
      <c r="L1361">
        <f>2.12661921742308*(0.3)</f>
        <v>0.63798576522692307</v>
      </c>
      <c r="M1361">
        <f>4.77404314115385*(0.3)</f>
        <v>1.432212942346154</v>
      </c>
      <c r="N1361">
        <f>4.34003921923077*(0.3)</f>
        <v>1.3020117657692307</v>
      </c>
    </row>
    <row r="1362" spans="1:14" x14ac:dyDescent="0.25">
      <c r="A1362">
        <f>-57.03696786*(0.3)</f>
        <v>-17.111090357999998</v>
      </c>
      <c r="B1362">
        <f>4.38745906615385*(0.3)</f>
        <v>1.3162377198461537</v>
      </c>
      <c r="C1362">
        <f>13.1623771984615*(0.3)</f>
        <v>3.9487131595384612</v>
      </c>
      <c r="D1362">
        <f>4.38745906615385*(0.3)</f>
        <v>1.3162377198461537</v>
      </c>
      <c r="E1362">
        <f>4.38745906615385*(0.3)</f>
        <v>1.3162377198461537</v>
      </c>
      <c r="F1362">
        <f>4.38745906615385*(0.3)</f>
        <v>1.3162377198461537</v>
      </c>
      <c r="G1362">
        <f>2.63247543969231*(0.3)</f>
        <v>0.78974263190769223</v>
      </c>
      <c r="H1362">
        <f>4.38745906615385*(0.3)</f>
        <v>1.3162377198461537</v>
      </c>
      <c r="I1362">
        <f>4.38745906615385*(0.3)</f>
        <v>1.3162377198461537</v>
      </c>
      <c r="J1362">
        <f>-0.877491813230769*(0.3)</f>
        <v>-0.26324754396923067</v>
      </c>
      <c r="K1362">
        <f>4.38745906615385*(0.3)</f>
        <v>1.3162377198461537</v>
      </c>
      <c r="L1362">
        <f>2.14985494241538*(0.3)</f>
        <v>0.64495648272461525</v>
      </c>
      <c r="M1362">
        <f>4.82620497276923*(0.3)</f>
        <v>1.4478614918307693</v>
      </c>
      <c r="N1362">
        <f>4.38745906615385*(0.3)</f>
        <v>1.3162377198461537</v>
      </c>
    </row>
    <row r="1363" spans="1:14" x14ac:dyDescent="0.25">
      <c r="A1363">
        <f>-94.11903605*(0.3)</f>
        <v>-28.235710815000001</v>
      </c>
      <c r="B1363">
        <f>7.23992585*(0.3)</f>
        <v>2.1719777549999999</v>
      </c>
      <c r="C1363">
        <f>21.71977755*(0.3)</f>
        <v>6.515933265000001</v>
      </c>
      <c r="D1363">
        <f>7.23992585*(0.3)</f>
        <v>2.1719777549999999</v>
      </c>
      <c r="E1363">
        <f>7.23992585*(0.3)</f>
        <v>2.1719777549999999</v>
      </c>
      <c r="F1363">
        <f>7.23992585*(0.3)</f>
        <v>2.1719777549999999</v>
      </c>
      <c r="G1363">
        <f>4.34395551*(0.3)</f>
        <v>1.3031866529999998</v>
      </c>
      <c r="H1363">
        <f>7.23992585*(0.3)</f>
        <v>2.1719777549999999</v>
      </c>
      <c r="I1363">
        <f>7.23992585*(0.3)</f>
        <v>2.1719777549999999</v>
      </c>
      <c r="J1363">
        <f>-1.44798517*(0.3)</f>
        <v>-0.43439555099999988</v>
      </c>
      <c r="K1363">
        <f>7.23992585*(0.3)</f>
        <v>2.1719777549999999</v>
      </c>
      <c r="L1363">
        <f>3.5475636665*(0.3)</f>
        <v>1.06426909995</v>
      </c>
      <c r="M1363">
        <f>7.963918435*(0.3)</f>
        <v>2.3891755305000002</v>
      </c>
      <c r="N1363">
        <f>7.23992585*(0.3)</f>
        <v>2.1719777549999999</v>
      </c>
    </row>
    <row r="1364" spans="1:14" x14ac:dyDescent="0.25">
      <c r="A1364">
        <f>-76.6807643*(0.3)</f>
        <v>-23.004229290000001</v>
      </c>
      <c r="B1364">
        <f>5.89852033076923*(0.3)</f>
        <v>1.7695560992307693</v>
      </c>
      <c r="C1364">
        <f>17.6955609923077*(0.3)</f>
        <v>5.3086682976923081</v>
      </c>
      <c r="D1364">
        <f>5.89852033076923*(0.3)</f>
        <v>1.7695560992307693</v>
      </c>
      <c r="E1364">
        <f>5.89852033076923*(0.3)</f>
        <v>1.7695560992307693</v>
      </c>
      <c r="F1364">
        <f>5.89852033076923*(0.3)</f>
        <v>1.7695560992307693</v>
      </c>
      <c r="G1364">
        <f>3.53911219846154*(0.3)</f>
        <v>1.0617336595384614</v>
      </c>
      <c r="H1364">
        <f>5.89852033076923*(0.3)</f>
        <v>1.7695560992307693</v>
      </c>
      <c r="I1364">
        <f>5.89852033076923*(0.3)</f>
        <v>1.7695560992307693</v>
      </c>
      <c r="J1364">
        <f>-1.17970406615385*(0.3)</f>
        <v>-0.35391121984615381</v>
      </c>
      <c r="K1364">
        <f>5.89852033076923*(0.3)</f>
        <v>1.7695560992307693</v>
      </c>
      <c r="L1364">
        <f>2.89027496207692*(0.3)</f>
        <v>0.86708248862307691</v>
      </c>
      <c r="M1364">
        <f>6.48837236384616*(0.3)</f>
        <v>1.9465117091538464</v>
      </c>
      <c r="N1364">
        <f>5.89852033076923*(0.3)</f>
        <v>1.7695560992307693</v>
      </c>
    </row>
    <row r="1365" spans="1:14" x14ac:dyDescent="0.25">
      <c r="A1365">
        <f>-142.1427659*(0.3)</f>
        <v>-42.642829769999999</v>
      </c>
      <c r="B1365">
        <f>10.9340589153846*(0.3)</f>
        <v>3.2802176746153844</v>
      </c>
      <c r="C1365">
        <f>32.8021767461538*(0.3)</f>
        <v>9.8406530238461531</v>
      </c>
      <c r="D1365">
        <f>10.9340589153846*(0.3)</f>
        <v>3.2802176746153844</v>
      </c>
      <c r="E1365">
        <f>10.9340589153846*(0.3)</f>
        <v>3.2802176746153844</v>
      </c>
      <c r="F1365">
        <f>10.9340589153846*(0.3)</f>
        <v>3.2802176746153844</v>
      </c>
      <c r="G1365">
        <f>6.56043534923077*(0.3)</f>
        <v>1.9681306047692306</v>
      </c>
      <c r="H1365">
        <f>10.9340589153846*(0.3)</f>
        <v>3.2802176746153844</v>
      </c>
      <c r="I1365">
        <f>10.9340589153846*(0.3)</f>
        <v>3.2802176746153844</v>
      </c>
      <c r="J1365">
        <f>-2.18681178307692*(0.3)</f>
        <v>-0.65604353492307677</v>
      </c>
      <c r="K1365">
        <f>10.9340589153846*(0.3)</f>
        <v>3.2802176746153844</v>
      </c>
      <c r="L1365">
        <f>5.35768886853846*(0.3)</f>
        <v>1.6073066605615383</v>
      </c>
      <c r="M1365">
        <f>12.0274648069231*(0.3)</f>
        <v>3.6082394420769233</v>
      </c>
      <c r="N1365">
        <f>10.9340589153846*(0.3)</f>
        <v>3.2802176746153844</v>
      </c>
    </row>
    <row r="1366" spans="1:14" x14ac:dyDescent="0.25">
      <c r="A1366">
        <f>-93.88847323*(0.3)</f>
        <v>-28.166541969000001</v>
      </c>
      <c r="B1366">
        <f>7.22219024846154*(0.3)</f>
        <v>2.1666570745384615</v>
      </c>
      <c r="C1366">
        <f>21.6665707453846*(0.3)</f>
        <v>6.4999712236153853</v>
      </c>
      <c r="D1366">
        <f>7.22219024846154*(0.3)</f>
        <v>2.1666570745384615</v>
      </c>
      <c r="E1366">
        <f>7.22219024846154*(0.3)</f>
        <v>2.1666570745384615</v>
      </c>
      <c r="F1366">
        <f>7.22219024846154*(0.3)</f>
        <v>2.1666570745384615</v>
      </c>
      <c r="G1366">
        <f>4.33331414907692*(0.3)</f>
        <v>1.2999942447230768</v>
      </c>
      <c r="H1366">
        <f>7.22219024846154*(0.3)</f>
        <v>2.1666570745384615</v>
      </c>
      <c r="I1366">
        <f>7.22219024846154*(0.3)</f>
        <v>2.1666570745384615</v>
      </c>
      <c r="J1366">
        <f>-1.44443804969231*(0.3)</f>
        <v>-0.43333141490769223</v>
      </c>
      <c r="K1366">
        <f>7.22219024846154*(0.3)</f>
        <v>2.1666570745384615</v>
      </c>
      <c r="L1366">
        <f>3.53887322174615*(0.3)</f>
        <v>1.0616619665238463</v>
      </c>
      <c r="M1366">
        <f>7.94440927330769*(0.3)</f>
        <v>2.383322781992308</v>
      </c>
      <c r="N1366">
        <f>7.22219024846154*(0.3)</f>
        <v>2.1666570745384615</v>
      </c>
    </row>
    <row r="1367" spans="1:14" x14ac:dyDescent="0.25">
      <c r="A1367">
        <f>-198.6673409*(0.3)</f>
        <v>-59.600202269999997</v>
      </c>
      <c r="B1367">
        <f>15.2821031461538*(0.3)</f>
        <v>4.5846309438461539</v>
      </c>
      <c r="C1367">
        <f>45.8463094384615*(0.3)</f>
        <v>13.753892831538462</v>
      </c>
      <c r="D1367">
        <f>15.2821031461538*(0.3)</f>
        <v>4.5846309438461539</v>
      </c>
      <c r="E1367">
        <f>15.2821031461538*(0.3)</f>
        <v>4.5846309438461539</v>
      </c>
      <c r="F1367">
        <f>15.2821031461538*(0.3)</f>
        <v>4.5846309438461539</v>
      </c>
      <c r="G1367">
        <f>9.16926188769231*(0.3)</f>
        <v>2.7507785663076922</v>
      </c>
      <c r="H1367">
        <f>15.2821031461538*(0.3)</f>
        <v>4.5846309438461539</v>
      </c>
      <c r="I1367">
        <f>15.2821031461538*(0.3)</f>
        <v>4.5846309438461539</v>
      </c>
      <c r="J1367">
        <f>-3.05642062923077*(0.3)</f>
        <v>-0.91692618876923049</v>
      </c>
      <c r="K1367">
        <f>15.2821031461538*(0.3)</f>
        <v>4.5846309438461539</v>
      </c>
      <c r="L1367">
        <f>7.48823054161538*(0.3)</f>
        <v>2.2464691624846154</v>
      </c>
      <c r="M1367">
        <f>16.8103134607692*(0.3)</f>
        <v>5.0430940382307696</v>
      </c>
      <c r="N1367">
        <f>15.2821031461538*(0.3)</f>
        <v>4.5846309438461539</v>
      </c>
    </row>
    <row r="1368" spans="1:14" x14ac:dyDescent="0.25">
      <c r="A1368">
        <f>-114.1257844*(0.3)</f>
        <v>-34.237735319999999</v>
      </c>
      <c r="B1368">
        <f>8.77890649230769*(0.3)</f>
        <v>2.6336719476923078</v>
      </c>
      <c r="C1368">
        <f>26.3367194769231*(0.3)</f>
        <v>7.9010158430769231</v>
      </c>
      <c r="D1368">
        <f>8.77890649230769*(0.3)</f>
        <v>2.6336719476923078</v>
      </c>
      <c r="E1368">
        <f>8.77890649230769*(0.3)</f>
        <v>2.6336719476923078</v>
      </c>
      <c r="F1368">
        <f>8.77890649230769*(0.3)</f>
        <v>2.6336719476923078</v>
      </c>
      <c r="G1368">
        <f>5.26734389538462*(0.3)</f>
        <v>1.5802031686153846</v>
      </c>
      <c r="H1368">
        <f>8.77890649230769*(0.3)</f>
        <v>2.6336719476923078</v>
      </c>
      <c r="I1368">
        <f>8.77890649230769*(0.3)</f>
        <v>2.6336719476923078</v>
      </c>
      <c r="J1368">
        <f>-1.75578129846154*(0.3)</f>
        <v>-0.52673438953846141</v>
      </c>
      <c r="K1368">
        <f>8.77890649230769*(0.3)</f>
        <v>2.6336719476923078</v>
      </c>
      <c r="L1368">
        <f>4.30166418123077*(0.3)</f>
        <v>1.2904992543692309</v>
      </c>
      <c r="M1368">
        <f>9.65679714153846*(0.3)</f>
        <v>2.8970391424615385</v>
      </c>
      <c r="N1368">
        <f>8.77890649230769*(0.3)</f>
        <v>2.6336719476923078</v>
      </c>
    </row>
    <row r="1369" spans="1:14" x14ac:dyDescent="0.25">
      <c r="A1369">
        <f>-273.6421006*(0.3)</f>
        <v>-82.09263018</v>
      </c>
      <c r="B1369">
        <f>21.0493923538462*(0.3)</f>
        <v>6.3148177061538453</v>
      </c>
      <c r="C1369">
        <f>63.1481770615385*(0.3)</f>
        <v>18.944453118461535</v>
      </c>
      <c r="D1369">
        <f>21.0493923538462*(0.3)</f>
        <v>6.3148177061538453</v>
      </c>
      <c r="E1369">
        <f>21.0493923538462*(0.3)</f>
        <v>6.3148177061538453</v>
      </c>
      <c r="F1369">
        <f>21.0493923538462*(0.3)</f>
        <v>6.3148177061538453</v>
      </c>
      <c r="G1369">
        <f>12.6296354123077*(0.3)</f>
        <v>3.788890623692307</v>
      </c>
      <c r="H1369">
        <f>21.0493923538462*(0.3)</f>
        <v>6.3148177061538453</v>
      </c>
      <c r="I1369">
        <f>21.0493923538462*(0.3)</f>
        <v>6.3148177061538453</v>
      </c>
      <c r="J1369">
        <f>-4.20987847076923*(0.3)</f>
        <v>-1.2629635412307689</v>
      </c>
      <c r="K1369">
        <f>21.0493923538462*(0.3)</f>
        <v>6.3148177061538453</v>
      </c>
      <c r="L1369">
        <f>10.3142022533846*(0.3)</f>
        <v>3.0942606760153843</v>
      </c>
      <c r="M1369">
        <f>23.1543315892308*(0.3)</f>
        <v>6.9462994767692301</v>
      </c>
      <c r="N1369">
        <f>21.0493923538462*(0.3)</f>
        <v>6.3148177061538453</v>
      </c>
    </row>
    <row r="1370" spans="1:14" x14ac:dyDescent="0.25">
      <c r="A1370">
        <f>-132.4983976*(0.3)</f>
        <v>-39.749519280000001</v>
      </c>
      <c r="B1370">
        <f>10.1921844307692*(0.3)</f>
        <v>3.0576553292307693</v>
      </c>
      <c r="C1370">
        <f>30.5765532923077*(0.3)</f>
        <v>9.172965987692308</v>
      </c>
      <c r="D1370">
        <f>10.1921844307692*(0.3)</f>
        <v>3.0576553292307693</v>
      </c>
      <c r="E1370">
        <f>10.1921844307692*(0.3)</f>
        <v>3.0576553292307693</v>
      </c>
      <c r="F1370">
        <f>10.1921844307692*(0.3)</f>
        <v>3.0576553292307693</v>
      </c>
      <c r="G1370">
        <f>6.11531065846154*(0.3)</f>
        <v>1.8345931975384615</v>
      </c>
      <c r="H1370">
        <f>10.1921844307692*(0.3)</f>
        <v>3.0576553292307693</v>
      </c>
      <c r="I1370">
        <f>10.1921844307692*(0.3)</f>
        <v>3.0576553292307693</v>
      </c>
      <c r="J1370">
        <f>-2.03843688615385*(0.3)</f>
        <v>-0.61153106584615369</v>
      </c>
      <c r="K1370">
        <f>10.1921844307692*(0.3)</f>
        <v>3.0576553292307693</v>
      </c>
      <c r="L1370">
        <f>4.99417037107692*(0.3)</f>
        <v>1.498251111323077</v>
      </c>
      <c r="M1370">
        <f>11.2114028738462*(0.3)</f>
        <v>3.3634208621538466</v>
      </c>
      <c r="N1370">
        <f>10.1921844307692*(0.3)</f>
        <v>3.0576553292307693</v>
      </c>
    </row>
    <row r="1371" spans="1:14" x14ac:dyDescent="0.25">
      <c r="A1371">
        <f>-373.9571879*(0.3)</f>
        <v>-112.18715637</v>
      </c>
      <c r="B1371">
        <f>28.7659375307692*(0.3)</f>
        <v>8.6297812592307697</v>
      </c>
      <c r="C1371">
        <f>86.2978125923077*(0.3)</f>
        <v>25.889343777692307</v>
      </c>
      <c r="D1371">
        <f>28.7659375307692*(0.3)</f>
        <v>8.6297812592307697</v>
      </c>
      <c r="E1371">
        <f>28.7659375307692*(0.3)</f>
        <v>8.6297812592307697</v>
      </c>
      <c r="F1371">
        <f>28.7659375307692*(0.3)</f>
        <v>8.6297812592307697</v>
      </c>
      <c r="G1371">
        <f>17.2595625184615*(0.3)</f>
        <v>5.1778687555384613</v>
      </c>
      <c r="H1371">
        <f>28.7659375307692*(0.3)</f>
        <v>8.6297812592307697</v>
      </c>
      <c r="I1371">
        <f>28.7659375307692*(0.3)</f>
        <v>8.6297812592307697</v>
      </c>
      <c r="J1371">
        <f>-5.75318750615385*(0.3)</f>
        <v>-1.7259562518461535</v>
      </c>
      <c r="K1371">
        <f>28.7659375307692*(0.3)</f>
        <v>8.6297812592307697</v>
      </c>
      <c r="L1371">
        <f>14.0953093900769*(0.3)</f>
        <v>4.2285928170230767</v>
      </c>
      <c r="M1371">
        <f>31.6425312838462*(0.3)</f>
        <v>9.4927593851538461</v>
      </c>
      <c r="N1371">
        <f>28.7659375307692*(0.3)</f>
        <v>8.6297812592307697</v>
      </c>
    </row>
    <row r="1372" spans="1:14" x14ac:dyDescent="0.25">
      <c r="A1372">
        <f>-150.0682524*(0.3)</f>
        <v>-45.02047572</v>
      </c>
      <c r="B1372">
        <f>11.5437117230769*(0.3)</f>
        <v>3.4631135169230767</v>
      </c>
      <c r="C1372">
        <f>34.6311351692308*(0.3)</f>
        <v>10.38934055076923</v>
      </c>
      <c r="D1372">
        <f>11.5437117230769*(0.3)</f>
        <v>3.4631135169230767</v>
      </c>
      <c r="E1372">
        <f>11.5437117230769*(0.3)</f>
        <v>3.4631135169230767</v>
      </c>
      <c r="F1372">
        <f>11.5437117230769*(0.3)</f>
        <v>3.4631135169230767</v>
      </c>
      <c r="G1372">
        <f>6.92622703384615*(0.3)</f>
        <v>2.0778681101538461</v>
      </c>
      <c r="H1372">
        <f>11.5437117230769*(0.3)</f>
        <v>3.4631135169230767</v>
      </c>
      <c r="I1372">
        <f>11.5437117230769*(0.3)</f>
        <v>3.4631135169230767</v>
      </c>
      <c r="J1372">
        <f>-2.30874234461538*(0.3)</f>
        <v>-0.69262270338461518</v>
      </c>
      <c r="K1372">
        <f>11.5437117230769*(0.3)</f>
        <v>3.4631135169230767</v>
      </c>
      <c r="L1372">
        <f>5.65641874430769*(0.3)</f>
        <v>1.6969256232923076</v>
      </c>
      <c r="M1372">
        <f>12.6980828953846*(0.3)</f>
        <v>3.8094248686153844</v>
      </c>
      <c r="N1372">
        <f>11.5437117230769*(0.3)</f>
        <v>3.4631135169230767</v>
      </c>
    </row>
    <row r="1373" spans="1:14" x14ac:dyDescent="0.25">
      <c r="A1373">
        <f>-516.9452895*(0.3)</f>
        <v>-155.08358684999999</v>
      </c>
      <c r="B1373">
        <f>39.7650222692308*(0.3)</f>
        <v>11.929506680769228</v>
      </c>
      <c r="C1373">
        <f>119.295066807692*(0.3)</f>
        <v>35.788520042307681</v>
      </c>
      <c r="D1373">
        <f>39.7650222692308*(0.3)</f>
        <v>11.929506680769228</v>
      </c>
      <c r="E1373">
        <f>39.7650222692308*(0.3)</f>
        <v>11.929506680769228</v>
      </c>
      <c r="F1373">
        <f>39.7650222692308*(0.3)</f>
        <v>11.929506680769228</v>
      </c>
      <c r="G1373">
        <f>23.8590133615385*(0.3)</f>
        <v>7.1577040084615362</v>
      </c>
      <c r="H1373">
        <f>39.7650222692308*(0.3)</f>
        <v>11.929506680769228</v>
      </c>
      <c r="I1373">
        <f>39.7650222692308*(0.3)</f>
        <v>11.929506680769228</v>
      </c>
      <c r="J1373">
        <f>-7.95300445384615*(0.3)</f>
        <v>-2.3859013361538453</v>
      </c>
      <c r="K1373">
        <f>39.7650222692308*(0.3)</f>
        <v>11.929506680769228</v>
      </c>
      <c r="L1373">
        <f>19.4848609119231*(0.3)</f>
        <v>5.8454582735769209</v>
      </c>
      <c r="M1373">
        <f>43.7415244961538*(0.3)</f>
        <v>13.122457348846153</v>
      </c>
      <c r="N1373">
        <f>39.7650222692308*(0.3)</f>
        <v>11.929506680769228</v>
      </c>
    </row>
    <row r="1374" spans="1:14" x14ac:dyDescent="0.25">
      <c r="A1374">
        <f>-170.3933215*(0.3)</f>
        <v>-51.11799645</v>
      </c>
      <c r="B1374">
        <f>13.1071785769231*(0.3)</f>
        <v>3.9321535730769233</v>
      </c>
      <c r="C1374">
        <f>39.3215357307692*(0.3)</f>
        <v>11.796460719230771</v>
      </c>
      <c r="D1374">
        <f>13.1071785769231*(0.3)</f>
        <v>3.9321535730769233</v>
      </c>
      <c r="E1374">
        <f>13.1071785769231*(0.3)</f>
        <v>3.9321535730769233</v>
      </c>
      <c r="F1374">
        <f>13.1071785769231*(0.3)</f>
        <v>3.9321535730769233</v>
      </c>
      <c r="G1374">
        <f>7.86430714615385*(0.3)</f>
        <v>2.359292143846154</v>
      </c>
      <c r="H1374">
        <f>13.1071785769231*(0.3)</f>
        <v>3.9321535730769233</v>
      </c>
      <c r="I1374">
        <f>13.1071785769231*(0.3)</f>
        <v>3.9321535730769233</v>
      </c>
      <c r="J1374">
        <f>-2.62143571538462*(0.3)</f>
        <v>-0.7864307146153845</v>
      </c>
      <c r="K1374">
        <f>13.1071785769231*(0.3)</f>
        <v>3.9321535730769233</v>
      </c>
      <c r="L1374">
        <f>6.42251750269231*(0.3)</f>
        <v>1.9267552508076924</v>
      </c>
      <c r="M1374">
        <f>14.4178964346154*(0.3)</f>
        <v>4.3253689303846157</v>
      </c>
      <c r="N1374">
        <f>13.1071785769231*(0.3)</f>
        <v>3.9321535730769233</v>
      </c>
    </row>
    <row r="1375" spans="1:14" x14ac:dyDescent="0.25">
      <c r="A1375">
        <f>-729.7517835*(0.3)</f>
        <v>-218.92553504999998</v>
      </c>
      <c r="B1375">
        <f>56.1347525769231*(0.3)</f>
        <v>16.840425773076923</v>
      </c>
      <c r="C1375">
        <f>168.404257730769*(0.3)</f>
        <v>50.521277319230769</v>
      </c>
      <c r="D1375">
        <f>56.1347525769231*(0.3)</f>
        <v>16.840425773076923</v>
      </c>
      <c r="E1375">
        <f>56.1347525769231*(0.3)</f>
        <v>16.840425773076923</v>
      </c>
      <c r="F1375">
        <f>56.1347525769231*(0.3)</f>
        <v>16.840425773076923</v>
      </c>
      <c r="G1375">
        <f>33.6808515461538*(0.3)</f>
        <v>10.104255463846153</v>
      </c>
      <c r="H1375">
        <f>56.1347525769231*(0.3)</f>
        <v>16.840425773076923</v>
      </c>
      <c r="I1375">
        <f>56.1347525769231*(0.3)</f>
        <v>16.840425773076923</v>
      </c>
      <c r="J1375">
        <f>-11.2269505153846*(0.3)</f>
        <v>-3.3680851546153838</v>
      </c>
      <c r="K1375">
        <f>56.1347525769231*(0.3)</f>
        <v>16.840425773076923</v>
      </c>
      <c r="L1375">
        <f>27.5060287626923*(0.3)</f>
        <v>8.2518086288076908</v>
      </c>
      <c r="M1375">
        <f>61.7482278346154*(0.3)</f>
        <v>18.524468350384616</v>
      </c>
      <c r="N1375">
        <f>56.1347525769231*(0.3)</f>
        <v>16.840425773076923</v>
      </c>
    </row>
    <row r="1376" spans="1:14" x14ac:dyDescent="0.25">
      <c r="A1376">
        <f>-188.7623701*(0.3)</f>
        <v>-56.628711029999998</v>
      </c>
      <c r="B1376">
        <f>14.5201823153846*(0.3)</f>
        <v>4.3560546946153842</v>
      </c>
      <c r="C1376">
        <f>43.5605469461538*(0.3)</f>
        <v>13.068164083846153</v>
      </c>
      <c r="D1376">
        <f>14.5201823153846*(0.3)</f>
        <v>4.3560546946153842</v>
      </c>
      <c r="E1376">
        <f>14.5201823153846*(0.3)</f>
        <v>4.3560546946153842</v>
      </c>
      <c r="F1376">
        <f>14.5201823153846*(0.3)</f>
        <v>4.3560546946153842</v>
      </c>
      <c r="G1376">
        <f>8.71210938923077*(0.3)</f>
        <v>2.6136328167692304</v>
      </c>
      <c r="H1376">
        <f>14.5201823153846*(0.3)</f>
        <v>4.3560546946153842</v>
      </c>
      <c r="I1376">
        <f>14.5201823153846*(0.3)</f>
        <v>4.3560546946153842</v>
      </c>
      <c r="J1376">
        <f>-2.90403646307692*(0.3)</f>
        <v>-0.87121093892307666</v>
      </c>
      <c r="K1376">
        <f>14.5201823153846*(0.3)</f>
        <v>4.3560546946153842</v>
      </c>
      <c r="L1376">
        <f>7.11488933453846*(0.3)</f>
        <v>2.1344668003615381</v>
      </c>
      <c r="M1376">
        <f>15.9722005469231*(0.3)</f>
        <v>4.791660164076923</v>
      </c>
      <c r="N1376">
        <f>14.5201823153846*(0.3)</f>
        <v>4.3560546946153842</v>
      </c>
    </row>
    <row r="1377" spans="1:14" x14ac:dyDescent="0.25">
      <c r="A1377">
        <f>-24.70004052*(0.3)</f>
        <v>-7.4100121560000005</v>
      </c>
      <c r="B1377">
        <f>1.90000311692308*(0.3)</f>
        <v>0.57000093507692307</v>
      </c>
      <c r="C1377">
        <f>5.70000935076923*(0.3)</f>
        <v>1.7100028052307692</v>
      </c>
      <c r="D1377">
        <f>1.90000311692308*(0.3)</f>
        <v>0.57000093507692307</v>
      </c>
      <c r="E1377">
        <f>1.90000311692308*(0.3)</f>
        <v>0.57000093507692307</v>
      </c>
      <c r="F1377">
        <f>1.90000311692308*(0.3)</f>
        <v>0.57000093507692307</v>
      </c>
      <c r="G1377">
        <f>1.14000187015385*(0.3)</f>
        <v>0.34200056104615384</v>
      </c>
      <c r="H1377">
        <f>1.90000311692308*(0.3)</f>
        <v>0.57000093507692307</v>
      </c>
      <c r="I1377">
        <f>1.90000311692308*(0.3)</f>
        <v>0.57000093507692307</v>
      </c>
      <c r="J1377">
        <f>-0.380000623384615*(0.3)</f>
        <v>-0.11400018701538459</v>
      </c>
      <c r="K1377">
        <f>1.90000311692308*(0.3)</f>
        <v>0.57000093507692307</v>
      </c>
      <c r="L1377">
        <f>0.931001527292308*(0.3)</f>
        <v>0.27930045818769234</v>
      </c>
      <c r="M1377">
        <f>2.09000342861538*(0.3)</f>
        <v>0.62700102858461537</v>
      </c>
      <c r="N1377">
        <f>1.90000311692308*(0.3)</f>
        <v>0.57000093507692307</v>
      </c>
    </row>
    <row r="1378" spans="1:14" x14ac:dyDescent="0.25">
      <c r="A1378">
        <f>-108.2204846*(0.3)</f>
        <v>-32.46614538</v>
      </c>
      <c r="B1378">
        <f>8.32465266153846*(0.3)</f>
        <v>2.4973957984615383</v>
      </c>
      <c r="C1378">
        <f>24.9739579846154*(0.3)</f>
        <v>7.4921873953846152</v>
      </c>
      <c r="D1378">
        <f>8.32465266153846*(0.3)</f>
        <v>2.4973957984615383</v>
      </c>
      <c r="E1378">
        <f>8.32465266153846*(0.3)</f>
        <v>2.4973957984615383</v>
      </c>
      <c r="F1378">
        <f>8.32465266153846*(0.3)</f>
        <v>2.4973957984615383</v>
      </c>
      <c r="G1378">
        <f>4.99479159692308*(0.3)</f>
        <v>1.4984374790769228</v>
      </c>
      <c r="H1378">
        <f>8.32465266153846*(0.3)</f>
        <v>2.4973957984615383</v>
      </c>
      <c r="I1378">
        <f>8.32465266153846*(0.3)</f>
        <v>2.4973957984615383</v>
      </c>
      <c r="J1378">
        <f>-1.66493053230769*(0.3)</f>
        <v>-0.49947915969230755</v>
      </c>
      <c r="K1378">
        <f>8.32465266153846*(0.3)</f>
        <v>2.4973957984615383</v>
      </c>
      <c r="L1378">
        <f>4.07907980415385*(0.3)</f>
        <v>1.2237239412461538</v>
      </c>
      <c r="M1378">
        <f>9.15711792769231*(0.3)</f>
        <v>2.7471353783076924</v>
      </c>
      <c r="N1378">
        <f>8.32465266153846*(0.3)</f>
        <v>2.4973957984615383</v>
      </c>
    </row>
    <row r="1379" spans="1:14" x14ac:dyDescent="0.25">
      <c r="A1379">
        <f>-42.4266376*(0.3)</f>
        <v>-12.727991279999999</v>
      </c>
      <c r="B1379">
        <f>3.26358750769231*(0.3)</f>
        <v>0.97907625230769224</v>
      </c>
      <c r="C1379">
        <f>9.79076252307692*(0.3)</f>
        <v>2.9372287569230768</v>
      </c>
      <c r="D1379">
        <f>3.26358750769231*(0.3)</f>
        <v>0.97907625230769224</v>
      </c>
      <c r="E1379">
        <f>3.26358750769231*(0.3)</f>
        <v>0.97907625230769224</v>
      </c>
      <c r="F1379">
        <f>3.26358750769231*(0.3)</f>
        <v>0.97907625230769224</v>
      </c>
      <c r="G1379">
        <f>1.95815250461538*(0.3)</f>
        <v>0.5874457513846153</v>
      </c>
      <c r="H1379">
        <f>3.26358750769231*(0.3)</f>
        <v>0.97907625230769224</v>
      </c>
      <c r="I1379">
        <f>3.26358750769231*(0.3)</f>
        <v>0.97907625230769224</v>
      </c>
      <c r="J1379">
        <f>-0.652717501538461*(0.3)</f>
        <v>-0.19581525046153839</v>
      </c>
      <c r="K1379">
        <f>3.26358750769231*(0.3)</f>
        <v>0.97907625230769224</v>
      </c>
      <c r="L1379">
        <f>1.59915787876923*(0.3)</f>
        <v>0.4797473636307692</v>
      </c>
      <c r="M1379">
        <f>3.58994625846154*(0.3)</f>
        <v>1.0769838775384615</v>
      </c>
      <c r="N1379">
        <f>3.26358750769231*(0.3)</f>
        <v>0.97907625230769224</v>
      </c>
    </row>
    <row r="1380" spans="1:14" x14ac:dyDescent="0.25">
      <c r="A1380">
        <f>-142.434238*(0.3)</f>
        <v>-42.730271399999999</v>
      </c>
      <c r="B1380">
        <f>10.9564798461538*(0.3)</f>
        <v>3.2869439538461536</v>
      </c>
      <c r="C1380">
        <f>32.8694395384615*(0.3)</f>
        <v>9.8608318615384594</v>
      </c>
      <c r="D1380">
        <f>10.9564798461538*(0.3)</f>
        <v>3.2869439538461536</v>
      </c>
      <c r="E1380">
        <f>10.9564798461538*(0.3)</f>
        <v>3.2869439538461536</v>
      </c>
      <c r="F1380">
        <f>10.9564798461538*(0.3)</f>
        <v>3.2869439538461536</v>
      </c>
      <c r="G1380">
        <f>6.57388790769231*(0.3)</f>
        <v>1.9721663723076921</v>
      </c>
      <c r="H1380">
        <f>10.9564798461538*(0.3)</f>
        <v>3.2869439538461536</v>
      </c>
      <c r="I1380">
        <f>10.9564798461538*(0.3)</f>
        <v>3.2869439538461536</v>
      </c>
      <c r="J1380">
        <f>-2.19129596923077*(0.3)</f>
        <v>-0.65738879076923062</v>
      </c>
      <c r="K1380">
        <f>10.9564798461538*(0.3)</f>
        <v>3.2869439538461536</v>
      </c>
      <c r="L1380">
        <f>5.36867512461538*(0.3)</f>
        <v>1.6106025373846153</v>
      </c>
      <c r="M1380">
        <f>12.0521278307692*(0.3)</f>
        <v>3.6156383492307693</v>
      </c>
      <c r="N1380">
        <f>10.9564798461538*(0.3)</f>
        <v>3.2869439538461536</v>
      </c>
    </row>
    <row r="1381" spans="1:14" x14ac:dyDescent="0.25">
      <c r="A1381">
        <f>-57.2326283*(0.3)</f>
        <v>-17.169788489999998</v>
      </c>
      <c r="B1381">
        <f>4.40250986923077*(0.3)</f>
        <v>1.3207529607692308</v>
      </c>
      <c r="C1381">
        <f>13.2075296076923*(0.3)</f>
        <v>3.9622588823076921</v>
      </c>
      <c r="D1381">
        <f>4.40250986923077*(0.3)</f>
        <v>1.3207529607692308</v>
      </c>
      <c r="E1381">
        <f>4.40250986923077*(0.3)</f>
        <v>1.3207529607692308</v>
      </c>
      <c r="F1381">
        <f>4.40250986923077*(0.3)</f>
        <v>1.3207529607692308</v>
      </c>
      <c r="G1381">
        <f>2.64150592153846*(0.3)</f>
        <v>0.79245177646153842</v>
      </c>
      <c r="H1381">
        <f>4.40250986923077*(0.3)</f>
        <v>1.3207529607692308</v>
      </c>
      <c r="I1381">
        <f>4.40250986923077*(0.3)</f>
        <v>1.3207529607692308</v>
      </c>
      <c r="J1381">
        <f>-0.880501973846154*(0.3)</f>
        <v>-0.26415059215384612</v>
      </c>
      <c r="K1381">
        <f>4.40250986923077*(0.3)</f>
        <v>1.3207529607692308</v>
      </c>
      <c r="L1381">
        <f>2.15722983592308*(0.3)</f>
        <v>0.64716895077692305</v>
      </c>
      <c r="M1381">
        <f>4.84276085615385*(0.3)</f>
        <v>1.4528282568461539</v>
      </c>
      <c r="N1381">
        <f>4.40250986923077*(0.3)</f>
        <v>1.3207529607692308</v>
      </c>
    </row>
    <row r="1382" spans="1:14" x14ac:dyDescent="0.25">
      <c r="A1382">
        <f>-175.1724688*(0.3)</f>
        <v>-52.551740639999998</v>
      </c>
      <c r="B1382">
        <f>13.4748052923077*(0.3)</f>
        <v>4.0424415876923074</v>
      </c>
      <c r="C1382">
        <f>40.4244158769231*(0.3)</f>
        <v>12.127324763076921</v>
      </c>
      <c r="D1382">
        <f>13.4748052923077*(0.3)</f>
        <v>4.0424415876923074</v>
      </c>
      <c r="E1382">
        <f>13.4748052923077*(0.3)</f>
        <v>4.0424415876923074</v>
      </c>
      <c r="F1382">
        <f>13.4748052923077*(0.3)</f>
        <v>4.0424415876923074</v>
      </c>
      <c r="G1382">
        <f>8.08488317538461*(0.3)</f>
        <v>2.4254649526153842</v>
      </c>
      <c r="H1382">
        <f>13.4748052923077*(0.3)</f>
        <v>4.0424415876923074</v>
      </c>
      <c r="I1382">
        <f>13.4748052923077*(0.3)</f>
        <v>4.0424415876923074</v>
      </c>
      <c r="J1382">
        <f>-2.69496105846154*(0.3)</f>
        <v>-0.80848831753846129</v>
      </c>
      <c r="K1382">
        <f>13.4748052923077*(0.3)</f>
        <v>4.0424415876923074</v>
      </c>
      <c r="L1382">
        <f>6.60265459323077*(0.3)</f>
        <v>1.9807963779692306</v>
      </c>
      <c r="M1382">
        <f>14.8222858215385*(0.3)</f>
        <v>4.4466857464615384</v>
      </c>
      <c r="N1382">
        <f>13.4748052923077*(0.3)</f>
        <v>4.0424415876923074</v>
      </c>
    </row>
    <row r="1383" spans="1:14" x14ac:dyDescent="0.25">
      <c r="A1383">
        <f>-75.78160995*(0.3)</f>
        <v>-22.734482985</v>
      </c>
      <c r="B1383">
        <f>5.82935461153846*(0.3)</f>
        <v>1.7488063834615386</v>
      </c>
      <c r="C1383">
        <f>17.4880638346154*(0.3)</f>
        <v>5.2464191503846154</v>
      </c>
      <c r="D1383">
        <f>5.82935461153846*(0.3)</f>
        <v>1.7488063834615386</v>
      </c>
      <c r="E1383">
        <f>5.82935461153846*(0.3)</f>
        <v>1.7488063834615386</v>
      </c>
      <c r="F1383">
        <f>5.82935461153846*(0.3)</f>
        <v>1.7488063834615386</v>
      </c>
      <c r="G1383">
        <f>3.49761276692308*(0.3)</f>
        <v>1.0492838300769232</v>
      </c>
      <c r="H1383">
        <f>5.82935461153846*(0.3)</f>
        <v>1.7488063834615386</v>
      </c>
      <c r="I1383">
        <f>5.82935461153846*(0.3)</f>
        <v>1.7488063834615386</v>
      </c>
      <c r="J1383">
        <f>-1.16587092230769*(0.3)</f>
        <v>-0.34976127669230767</v>
      </c>
      <c r="K1383">
        <f>5.82935461153846*(0.3)</f>
        <v>1.7488063834615386</v>
      </c>
      <c r="L1383">
        <f>2.85638375965385*(0.3)</f>
        <v>0.85691512789615387</v>
      </c>
      <c r="M1383">
        <f>6.41229007269231*(0.3)</f>
        <v>1.9236870218076925</v>
      </c>
      <c r="N1383">
        <f>5.82935461153846*(0.3)</f>
        <v>1.7488063834615386</v>
      </c>
    </row>
    <row r="1384" spans="1:14" x14ac:dyDescent="0.25">
      <c r="A1384">
        <f>-212.8813512*(0.3)</f>
        <v>-63.864405359999999</v>
      </c>
      <c r="B1384">
        <f>16.3754885538462*(0.3)</f>
        <v>4.9126465661538461</v>
      </c>
      <c r="C1384">
        <f>49.1264656615385*(0.3)</f>
        <v>14.737939698461538</v>
      </c>
      <c r="D1384">
        <f>16.3754885538462*(0.3)</f>
        <v>4.9126465661538461</v>
      </c>
      <c r="E1384">
        <f>16.3754885538462*(0.3)</f>
        <v>4.9126465661538461</v>
      </c>
      <c r="F1384">
        <f>16.3754885538462*(0.3)</f>
        <v>4.9126465661538461</v>
      </c>
      <c r="G1384">
        <f>9.82529313230769*(0.3)</f>
        <v>2.9475879396923075</v>
      </c>
      <c r="H1384">
        <f>16.3754885538462*(0.3)</f>
        <v>4.9126465661538461</v>
      </c>
      <c r="I1384">
        <f>16.3754885538462*(0.3)</f>
        <v>4.9126465661538461</v>
      </c>
      <c r="J1384">
        <f>-3.27509771076923*(0.3)</f>
        <v>-0.98252931323076886</v>
      </c>
      <c r="K1384">
        <f>16.3754885538462*(0.3)</f>
        <v>4.9126465661538461</v>
      </c>
      <c r="L1384">
        <f>8.02398939138462*(0.3)</f>
        <v>2.4071968174153846</v>
      </c>
      <c r="M1384">
        <f>18.0130374092308*(0.3)</f>
        <v>5.4039112227692305</v>
      </c>
      <c r="N1384">
        <f>16.3754885538462*(0.3)</f>
        <v>4.9126465661538461</v>
      </c>
    </row>
    <row r="1385" spans="1:14" x14ac:dyDescent="0.25">
      <c r="A1385">
        <f>-92.94959921*(0.3)</f>
        <v>-27.884879763000001</v>
      </c>
      <c r="B1385">
        <f>7.14996917*(0.3)</f>
        <v>2.1449907509999999</v>
      </c>
      <c r="C1385">
        <f>21.44990751*(0.3)</f>
        <v>6.4349722530000006</v>
      </c>
      <c r="D1385">
        <f>7.14996917*(0.3)</f>
        <v>2.1449907509999999</v>
      </c>
      <c r="E1385">
        <f>7.14996917*(0.3)</f>
        <v>2.1449907509999999</v>
      </c>
      <c r="F1385">
        <f>7.14996917*(0.3)</f>
        <v>2.1449907509999999</v>
      </c>
      <c r="G1385">
        <f>4.289981502*(0.3)</f>
        <v>1.2869944506</v>
      </c>
      <c r="H1385">
        <f>7.14996917*(0.3)</f>
        <v>2.1449907509999999</v>
      </c>
      <c r="I1385">
        <f>7.14996917*(0.3)</f>
        <v>2.1449907509999999</v>
      </c>
      <c r="J1385">
        <f>-1.429993834*(0.3)</f>
        <v>-0.42899815019999993</v>
      </c>
      <c r="K1385">
        <f>7.14996917*(0.3)</f>
        <v>2.1449907509999999</v>
      </c>
      <c r="L1385">
        <f>3.5034848933*(0.3)</f>
        <v>1.0510454679899999</v>
      </c>
      <c r="M1385">
        <f>7.864966087*(0.3)</f>
        <v>2.3594898261000004</v>
      </c>
      <c r="N1385">
        <f>7.14996917*(0.3)</f>
        <v>2.1449907509999999</v>
      </c>
    </row>
    <row r="1386" spans="1:14" x14ac:dyDescent="0.25">
      <c r="A1386">
        <f>-244.8615646*(0.3)</f>
        <v>-73.458469379999997</v>
      </c>
      <c r="B1386">
        <f>18.8355049692308*(0.3)</f>
        <v>5.6506514907692305</v>
      </c>
      <c r="C1386">
        <f>56.5065149076923*(0.3)</f>
        <v>16.95195447230769</v>
      </c>
      <c r="D1386">
        <f>18.8355049692308*(0.3)</f>
        <v>5.6506514907692305</v>
      </c>
      <c r="E1386">
        <f>18.8355049692308*(0.3)</f>
        <v>5.6506514907692305</v>
      </c>
      <c r="F1386">
        <f>18.8355049692308*(0.3)</f>
        <v>5.6506514907692305</v>
      </c>
      <c r="G1386">
        <f>11.3013029815385*(0.3)</f>
        <v>3.3903908944615382</v>
      </c>
      <c r="H1386">
        <f>18.8355049692308*(0.3)</f>
        <v>5.6506514907692305</v>
      </c>
      <c r="I1386">
        <f>18.8355049692308*(0.3)</f>
        <v>5.6506514907692305</v>
      </c>
      <c r="J1386">
        <f>-3.76710099384615*(0.3)</f>
        <v>-1.1301302981538459</v>
      </c>
      <c r="K1386">
        <f>18.8355049692308*(0.3)</f>
        <v>5.6506514907692305</v>
      </c>
      <c r="L1386">
        <f>9.22939743492308*(0.3)</f>
        <v>2.7688192304769226</v>
      </c>
      <c r="M1386">
        <f>20.7190554661538*(0.3)</f>
        <v>6.2157166398461543</v>
      </c>
      <c r="N1386">
        <f>18.8355049692308*(0.3)</f>
        <v>5.6506514907692305</v>
      </c>
    </row>
    <row r="1387" spans="1:14" x14ac:dyDescent="0.25">
      <c r="A1387">
        <f>-112.7451699*(0.3)</f>
        <v>-33.823550969999999</v>
      </c>
      <c r="B1387">
        <f>8.67270537692308*(0.3)</f>
        <v>2.6018116130769227</v>
      </c>
      <c r="C1387">
        <f>26.0181161307692*(0.3)</f>
        <v>7.8054348392307684</v>
      </c>
      <c r="D1387">
        <f>8.67270537692308*(0.3)</f>
        <v>2.6018116130769227</v>
      </c>
      <c r="E1387">
        <f>8.67270537692308*(0.3)</f>
        <v>2.6018116130769227</v>
      </c>
      <c r="F1387">
        <f>8.67270537692308*(0.3)</f>
        <v>2.6018116130769227</v>
      </c>
      <c r="G1387">
        <f>5.20362322615385*(0.3)</f>
        <v>1.5610869678461536</v>
      </c>
      <c r="H1387">
        <f>8.67270537692308*(0.3)</f>
        <v>2.6018116130769227</v>
      </c>
      <c r="I1387">
        <f>8.67270537692308*(0.3)</f>
        <v>2.6018116130769227</v>
      </c>
      <c r="J1387">
        <f>-1.73454107538461*(0.3)</f>
        <v>-0.5203623226153844</v>
      </c>
      <c r="K1387">
        <f>8.67270537692308*(0.3)</f>
        <v>2.6018116130769227</v>
      </c>
      <c r="L1387">
        <f>4.24962563469231*(0.3)</f>
        <v>1.2748876904076922</v>
      </c>
      <c r="M1387">
        <f>9.53997591461538*(0.3)</f>
        <v>2.8619927743846154</v>
      </c>
      <c r="N1387">
        <f>8.67270537692308*(0.3)</f>
        <v>2.6018116130769227</v>
      </c>
    </row>
    <row r="1388" spans="1:14" x14ac:dyDescent="0.25">
      <c r="A1388">
        <f>-283.1663025*(0.3)</f>
        <v>-84.949890749999994</v>
      </c>
      <c r="B1388">
        <f>21.7820232692308*(0.3)</f>
        <v>6.5346069807692295</v>
      </c>
      <c r="C1388">
        <f>65.3460698076923*(0.3)</f>
        <v>19.603820942307689</v>
      </c>
      <c r="D1388">
        <f>21.7820232692308*(0.3)</f>
        <v>6.5346069807692295</v>
      </c>
      <c r="E1388">
        <f>21.7820232692308*(0.3)</f>
        <v>6.5346069807692295</v>
      </c>
      <c r="F1388">
        <f>21.7820232692308*(0.3)</f>
        <v>6.5346069807692295</v>
      </c>
      <c r="G1388">
        <f>13.0692139615385*(0.3)</f>
        <v>3.9207641884615376</v>
      </c>
      <c r="H1388">
        <f>21.7820232692308*(0.3)</f>
        <v>6.5346069807692295</v>
      </c>
      <c r="I1388">
        <f>21.7820232692308*(0.3)</f>
        <v>6.5346069807692295</v>
      </c>
      <c r="J1388">
        <f>-4.35640465384615*(0.3)</f>
        <v>-1.3069213961538457</v>
      </c>
      <c r="K1388">
        <f>21.7820232692308*(0.3)</f>
        <v>6.5346069807692295</v>
      </c>
      <c r="L1388">
        <f>10.6731914019231*(0.3)</f>
        <v>3.2019574205769223</v>
      </c>
      <c r="M1388">
        <f>23.9602255961538*(0.3)</f>
        <v>7.1880676788461528</v>
      </c>
      <c r="N1388">
        <f>21.7820232692308*(0.3)</f>
        <v>6.5346069807692295</v>
      </c>
    </row>
    <row r="1389" spans="1:14" x14ac:dyDescent="0.25">
      <c r="A1389">
        <f>-138.9621787*(0.3)</f>
        <v>-41.688653610000003</v>
      </c>
      <c r="B1389">
        <f>10.6893983615385*(0.3)</f>
        <v>3.2068195084615385</v>
      </c>
      <c r="C1389">
        <f>32.0681950846154*(0.3)</f>
        <v>9.6204585253846151</v>
      </c>
      <c r="D1389">
        <f>10.6893983615385*(0.3)</f>
        <v>3.2068195084615385</v>
      </c>
      <c r="E1389">
        <f>10.6893983615385*(0.3)</f>
        <v>3.2068195084615385</v>
      </c>
      <c r="F1389">
        <f>10.6893983615385*(0.3)</f>
        <v>3.2068195084615385</v>
      </c>
      <c r="G1389">
        <f>6.41363901692308*(0.3)</f>
        <v>1.9240917050769231</v>
      </c>
      <c r="H1389">
        <f>10.6893983615385*(0.3)</f>
        <v>3.2068195084615385</v>
      </c>
      <c r="I1389">
        <f>10.6893983615385*(0.3)</f>
        <v>3.2068195084615385</v>
      </c>
      <c r="J1389">
        <f>-2.13787967230769*(0.3)</f>
        <v>-0.64136390169230761</v>
      </c>
      <c r="K1389">
        <f>10.6893983615385*(0.3)</f>
        <v>3.2068195084615385</v>
      </c>
      <c r="L1389">
        <f>5.23780519715385*(0.3)</f>
        <v>1.5713415591461537</v>
      </c>
      <c r="M1389">
        <f>11.7583381976923*(0.3)</f>
        <v>3.5275014593076928</v>
      </c>
      <c r="N1389">
        <f>10.6893983615385*(0.3)</f>
        <v>3.2068195084615385</v>
      </c>
    </row>
    <row r="1390" spans="1:14" x14ac:dyDescent="0.25">
      <c r="A1390">
        <f>-318.3845806*(0.3)</f>
        <v>-95.515374179999995</v>
      </c>
      <c r="B1390">
        <f>24.4911215846154*(0.3)</f>
        <v>7.3473364753846155</v>
      </c>
      <c r="C1390">
        <f>73.4733647538462*(0.3)</f>
        <v>22.042009426153847</v>
      </c>
      <c r="D1390">
        <f>24.4911215846154*(0.3)</f>
        <v>7.3473364753846155</v>
      </c>
      <c r="E1390">
        <f>24.4911215846154*(0.3)</f>
        <v>7.3473364753846155</v>
      </c>
      <c r="F1390">
        <f>24.4911215846154*(0.3)</f>
        <v>7.3473364753846155</v>
      </c>
      <c r="G1390">
        <f>14.6946729507692*(0.3)</f>
        <v>4.4084018852307691</v>
      </c>
      <c r="H1390">
        <f>24.4911215846154*(0.3)</f>
        <v>7.3473364753846155</v>
      </c>
      <c r="I1390">
        <f>24.4911215846154*(0.3)</f>
        <v>7.3473364753846155</v>
      </c>
      <c r="J1390">
        <f>-4.89822431692308*(0.3)</f>
        <v>-1.4694672950769228</v>
      </c>
      <c r="K1390">
        <f>24.4911215846154*(0.3)</f>
        <v>7.3473364753846155</v>
      </c>
      <c r="L1390">
        <f>12.0006495764615*(0.3)</f>
        <v>3.6001948729384616</v>
      </c>
      <c r="M1390">
        <f>26.9402337430769*(0.3)</f>
        <v>8.0820701229230778</v>
      </c>
      <c r="N1390">
        <f>24.4911215846154*(0.3)</f>
        <v>7.3473364753846155</v>
      </c>
    </row>
    <row r="1391" spans="1:14" x14ac:dyDescent="0.25">
      <c r="A1391">
        <f>-166.4499897*(0.3)</f>
        <v>-49.934996910000002</v>
      </c>
      <c r="B1391">
        <f>12.8038453615385*(0.3)</f>
        <v>3.8411536084615383</v>
      </c>
      <c r="C1391">
        <f>38.4115360846154*(0.3)</f>
        <v>11.523460825384616</v>
      </c>
      <c r="D1391">
        <f>12.8038453615385*(0.3)</f>
        <v>3.8411536084615383</v>
      </c>
      <c r="E1391">
        <f>12.8038453615385*(0.3)</f>
        <v>3.8411536084615383</v>
      </c>
      <c r="F1391">
        <f>12.8038453615385*(0.3)</f>
        <v>3.8411536084615383</v>
      </c>
      <c r="G1391">
        <f>7.68230721692308*(0.3)</f>
        <v>2.304692165076923</v>
      </c>
      <c r="H1391">
        <f>12.8038453615385*(0.3)</f>
        <v>3.8411536084615383</v>
      </c>
      <c r="I1391">
        <f>12.8038453615385*(0.3)</f>
        <v>3.8411536084615383</v>
      </c>
      <c r="J1391">
        <f>-2.56076907230769*(0.3)</f>
        <v>-0.76823072169230755</v>
      </c>
      <c r="K1391">
        <f>12.8038453615385*(0.3)</f>
        <v>3.8411536084615383</v>
      </c>
      <c r="L1391">
        <f>6.27388422715385*(0.3)</f>
        <v>1.8821652681461538</v>
      </c>
      <c r="M1391">
        <f>14.0842298976923*(0.3)</f>
        <v>4.2252689693076926</v>
      </c>
      <c r="N1391">
        <f>12.8038453615385*(0.3)</f>
        <v>3.8411536084615383</v>
      </c>
    </row>
    <row r="1392" spans="1:14" x14ac:dyDescent="0.25">
      <c r="A1392">
        <f>-356.0271191*(0.3)</f>
        <v>-106.80813572999999</v>
      </c>
      <c r="B1392">
        <f>27.3867014692308*(0.3)</f>
        <v>8.2160104407692298</v>
      </c>
      <c r="C1392">
        <f>82.1601044076923*(0.3)</f>
        <v>24.648031322307691</v>
      </c>
      <c r="D1392">
        <f>27.3867014692308*(0.3)</f>
        <v>8.2160104407692298</v>
      </c>
      <c r="E1392">
        <f>27.3867014692308*(0.3)</f>
        <v>8.2160104407692298</v>
      </c>
      <c r="F1392">
        <f>27.3867014692308*(0.3)</f>
        <v>8.2160104407692298</v>
      </c>
      <c r="G1392">
        <f>16.4320208815385*(0.3)</f>
        <v>4.9296062644615377</v>
      </c>
      <c r="H1392">
        <f>27.3867014692308*(0.3)</f>
        <v>8.2160104407692298</v>
      </c>
      <c r="I1392">
        <f>27.3867014692308*(0.3)</f>
        <v>8.2160104407692298</v>
      </c>
      <c r="J1392">
        <f>-5.47734029384615*(0.3)</f>
        <v>-1.6432020881538458</v>
      </c>
      <c r="K1392">
        <f>27.3867014692308*(0.3)</f>
        <v>8.2160104407692298</v>
      </c>
      <c r="L1392">
        <f>13.4194837199231*(0.3)</f>
        <v>4.0258451159769226</v>
      </c>
      <c r="M1392">
        <f>30.1253716161538*(0.3)</f>
        <v>9.0376114848461544</v>
      </c>
      <c r="N1392">
        <f>27.3867014692308*(0.3)</f>
        <v>8.2160104407692298</v>
      </c>
    </row>
    <row r="1393" spans="1:14" x14ac:dyDescent="0.25">
      <c r="A1393">
        <f>-1.617407346*(0.3)</f>
        <v>-0.48522220379999997</v>
      </c>
      <c r="B1393">
        <f>0.124415949692308*(0.3)</f>
        <v>3.732478490769231E-2</v>
      </c>
      <c r="C1393">
        <f>0.373247849076923*(0.3)</f>
        <v>0.11197435472307693</v>
      </c>
      <c r="D1393">
        <f>0.124415949692308*(0.3)</f>
        <v>3.732478490769231E-2</v>
      </c>
      <c r="E1393">
        <f>0.124415949692308*(0.3)</f>
        <v>3.732478490769231E-2</v>
      </c>
      <c r="F1393">
        <f>0.124415949692308*(0.3)</f>
        <v>3.732478490769231E-2</v>
      </c>
      <c r="G1393">
        <f>0.0746495698153846*(0.3)</f>
        <v>2.2394870944615387E-2</v>
      </c>
      <c r="H1393">
        <f>0.124415949692308*(0.3)</f>
        <v>3.732478490769231E-2</v>
      </c>
      <c r="I1393">
        <f>0.124415949692308*(0.3)</f>
        <v>3.732478490769231E-2</v>
      </c>
      <c r="J1393">
        <f>-0.0248831899384615*(0.3)</f>
        <v>-7.4649569815384599E-3</v>
      </c>
      <c r="K1393">
        <f>0.124415949692308*(0.3)</f>
        <v>3.732478490769231E-2</v>
      </c>
      <c r="L1393">
        <f>0.0609638153492308*(0.3)</f>
        <v>1.8289144604769228E-2</v>
      </c>
      <c r="M1393">
        <f>0.136857544661538*(0.3)</f>
        <v>4.1057263398461545E-2</v>
      </c>
      <c r="N1393">
        <f>0.124415949692308*(0.3)</f>
        <v>3.732478490769231E-2</v>
      </c>
    </row>
    <row r="1394" spans="1:14" x14ac:dyDescent="0.25">
      <c r="A1394">
        <f>-112.6701889*(0.3)</f>
        <v>-33.801056670000001</v>
      </c>
      <c r="B1394">
        <f>8.66693760769231*(0.3)</f>
        <v>2.6000812823076922</v>
      </c>
      <c r="C1394">
        <f>26.0008128230769*(0.3)</f>
        <v>7.8002438469230766</v>
      </c>
      <c r="D1394">
        <f>8.66693760769231*(0.3)</f>
        <v>2.6000812823076922</v>
      </c>
      <c r="E1394">
        <f>8.66693760769231*(0.3)</f>
        <v>2.6000812823076922</v>
      </c>
      <c r="F1394">
        <f>8.66693760769231*(0.3)</f>
        <v>2.6000812823076922</v>
      </c>
      <c r="G1394">
        <f>5.20016256461538*(0.3)</f>
        <v>1.5600487693846152</v>
      </c>
      <c r="H1394">
        <f>8.66693760769231*(0.3)</f>
        <v>2.6000812823076922</v>
      </c>
      <c r="I1394">
        <f>8.66693760769231*(0.3)</f>
        <v>2.6000812823076922</v>
      </c>
      <c r="J1394">
        <f>-1.73338752153846*(0.3)</f>
        <v>-0.52001625646153826</v>
      </c>
      <c r="K1394">
        <f>8.66693760769231*(0.3)</f>
        <v>2.6000812823076922</v>
      </c>
      <c r="L1394">
        <f>4.24679942776923*(0.3)</f>
        <v>1.2740398283307692</v>
      </c>
      <c r="M1394">
        <f>9.53363136846154*(0.3)</f>
        <v>2.8600894105384618</v>
      </c>
      <c r="N1394">
        <f>8.66693760769231*(0.3)</f>
        <v>2.6000812823076922</v>
      </c>
    </row>
    <row r="1395" spans="1:14" x14ac:dyDescent="0.25">
      <c r="A1395">
        <f>-4.368419072*(0.3)</f>
        <v>-1.3105257215999999</v>
      </c>
      <c r="B1395">
        <f>0.336032236307692*(0.3)</f>
        <v>0.10080967089230769</v>
      </c>
      <c r="C1395">
        <f>1.00809670892308*(0.3)</f>
        <v>0.30242901267692301</v>
      </c>
      <c r="D1395">
        <f>0.336032236307692*(0.3)</f>
        <v>0.10080967089230769</v>
      </c>
      <c r="E1395">
        <f>0.336032236307692*(0.3)</f>
        <v>0.10080967089230769</v>
      </c>
      <c r="F1395">
        <f>0.336032236307692*(0.3)</f>
        <v>0.10080967089230769</v>
      </c>
      <c r="G1395">
        <f>0.201619341784615*(0.3)</f>
        <v>6.048580253538461E-2</v>
      </c>
      <c r="H1395">
        <f>0.336032236307692*(0.3)</f>
        <v>0.10080967089230769</v>
      </c>
      <c r="I1395">
        <f>0.336032236307692*(0.3)</f>
        <v>0.10080967089230769</v>
      </c>
      <c r="J1395">
        <f>-0.0672064472615384*(0.3)</f>
        <v>-2.0161934178461533E-2</v>
      </c>
      <c r="K1395">
        <f>0.336032236307692*(0.3)</f>
        <v>0.10080967089230769</v>
      </c>
      <c r="L1395">
        <f>0.164655795790769*(0.3)</f>
        <v>4.9396738737230765E-2</v>
      </c>
      <c r="M1395">
        <f>0.369635459938462*(0.3)</f>
        <v>0.11089063798153848</v>
      </c>
      <c r="N1395">
        <f>0.336032236307692*(0.3)</f>
        <v>0.10080967089230769</v>
      </c>
    </row>
    <row r="1396" spans="1:14" x14ac:dyDescent="0.25">
      <c r="A1396">
        <f>-149.5870764*(0.3)</f>
        <v>-44.87612292</v>
      </c>
      <c r="B1396">
        <f>11.5066981846154*(0.3)</f>
        <v>3.4520094553846152</v>
      </c>
      <c r="C1396">
        <f>34.5200945538461*(0.3)</f>
        <v>10.356028366153845</v>
      </c>
      <c r="D1396">
        <f>11.5066981846154*(0.3)</f>
        <v>3.4520094553846152</v>
      </c>
      <c r="E1396">
        <f>11.5066981846154*(0.3)</f>
        <v>3.4520094553846152</v>
      </c>
      <c r="F1396">
        <f>11.5066981846154*(0.3)</f>
        <v>3.4520094553846152</v>
      </c>
      <c r="G1396">
        <f>6.90401891076923*(0.3)</f>
        <v>2.0712056732307689</v>
      </c>
      <c r="H1396">
        <f>11.5066981846154*(0.3)</f>
        <v>3.4520094553846152</v>
      </c>
      <c r="I1396">
        <f>11.5066981846154*(0.3)</f>
        <v>3.4520094553846152</v>
      </c>
      <c r="J1396">
        <f>-2.30133963692308*(0.3)</f>
        <v>-0.69040189107692296</v>
      </c>
      <c r="K1396">
        <f>11.5066981846154*(0.3)</f>
        <v>3.4520094553846152</v>
      </c>
      <c r="L1396">
        <f>5.63828211046154*(0.3)</f>
        <v>1.6914846331384614</v>
      </c>
      <c r="M1396">
        <f>12.6573680030769*(0.3)</f>
        <v>3.7972104009230767</v>
      </c>
      <c r="N1396">
        <f>11.5066981846154*(0.3)</f>
        <v>3.4520094553846152</v>
      </c>
    </row>
    <row r="1397" spans="1:14" x14ac:dyDescent="0.25">
      <c r="A1397">
        <f>-10.18607621*(0.3)</f>
        <v>-3.0558228629999999</v>
      </c>
      <c r="B1397">
        <f>0.783544323846154*(0.3)</f>
        <v>0.23506329715384613</v>
      </c>
      <c r="C1397">
        <f>2.35063297153846*(0.3)</f>
        <v>0.70518989146153832</v>
      </c>
      <c r="D1397">
        <f>0.783544323846154*(0.3)</f>
        <v>0.23506329715384613</v>
      </c>
      <c r="E1397">
        <f>0.783544323846154*(0.3)</f>
        <v>0.23506329715384613</v>
      </c>
      <c r="F1397">
        <f>0.783544323846154*(0.3)</f>
        <v>0.23506329715384613</v>
      </c>
      <c r="G1397">
        <f>0.470126594307692*(0.3)</f>
        <v>0.14103797829230769</v>
      </c>
      <c r="H1397">
        <f>0.783544323846154*(0.3)</f>
        <v>0.23506329715384613</v>
      </c>
      <c r="I1397">
        <f>0.783544323846154*(0.3)</f>
        <v>0.23506329715384613</v>
      </c>
      <c r="J1397">
        <f>-0.156708864769231*(0.3)</f>
        <v>-4.7012659430769217E-2</v>
      </c>
      <c r="K1397">
        <f>0.783544323846154*(0.3)</f>
        <v>0.23506329715384613</v>
      </c>
      <c r="L1397">
        <f>0.383936718684615*(0.3)</f>
        <v>0.1151810156053846</v>
      </c>
      <c r="M1397">
        <f>0.861898756230769*(0.3)</f>
        <v>0.2585696268692308</v>
      </c>
      <c r="N1397">
        <f>0.783544323846154*(0.3)</f>
        <v>0.23506329715384613</v>
      </c>
    </row>
    <row r="1398" spans="1:14" x14ac:dyDescent="0.25">
      <c r="A1398">
        <f>-193.1052583*(0.3)</f>
        <v>-57.931577489999995</v>
      </c>
      <c r="B1398">
        <f>14.8542506384615*(0.3)</f>
        <v>4.4562751915384613</v>
      </c>
      <c r="C1398">
        <f>44.5627519153846*(0.3)</f>
        <v>13.368825574615384</v>
      </c>
      <c r="D1398">
        <f>14.8542506384615*(0.3)</f>
        <v>4.4562751915384613</v>
      </c>
      <c r="E1398">
        <f>14.8542506384615*(0.3)</f>
        <v>4.4562751915384613</v>
      </c>
      <c r="F1398">
        <f>14.8542506384615*(0.3)</f>
        <v>4.4562751915384613</v>
      </c>
      <c r="G1398">
        <f>8.91255038307692*(0.3)</f>
        <v>2.6737651149230768</v>
      </c>
      <c r="H1398">
        <f>14.8542506384615*(0.3)</f>
        <v>4.4562751915384613</v>
      </c>
      <c r="I1398">
        <f>14.8542506384615*(0.3)</f>
        <v>4.4562751915384613</v>
      </c>
      <c r="J1398">
        <f>-2.97085012769231*(0.3)</f>
        <v>-0.89125503830769204</v>
      </c>
      <c r="K1398">
        <f>14.8542506384615*(0.3)</f>
        <v>4.4562751915384613</v>
      </c>
      <c r="L1398">
        <f>7.27858281284615*(0.3)</f>
        <v>2.183574843853846</v>
      </c>
      <c r="M1398">
        <f>16.3396757023077*(0.3)</f>
        <v>4.9019027106923083</v>
      </c>
      <c r="N1398">
        <f>14.8542506384615*(0.3)</f>
        <v>4.4562751915384613</v>
      </c>
    </row>
    <row r="1399" spans="1:14" x14ac:dyDescent="0.25">
      <c r="A1399">
        <f>-9.84549245*(0.3)</f>
        <v>-2.9536477350000001</v>
      </c>
      <c r="B1399">
        <f>0.757345573076923*(0.3)</f>
        <v>0.22720367192307692</v>
      </c>
      <c r="C1399">
        <f>2.27203671923077*(0.3)</f>
        <v>0.68161101576923067</v>
      </c>
      <c r="D1399">
        <f>0.757345573076923*(0.3)</f>
        <v>0.22720367192307692</v>
      </c>
      <c r="E1399">
        <f>0.757345573076923*(0.3)</f>
        <v>0.22720367192307692</v>
      </c>
      <c r="F1399">
        <f>0.757345573076923*(0.3)</f>
        <v>0.22720367192307692</v>
      </c>
      <c r="G1399">
        <f>0.454407343846154*(0.3)</f>
        <v>0.13632220315384613</v>
      </c>
      <c r="H1399">
        <f>0.757345573076923*(0.3)</f>
        <v>0.22720367192307692</v>
      </c>
      <c r="I1399">
        <f>0.757345573076923*(0.3)</f>
        <v>0.22720367192307692</v>
      </c>
      <c r="J1399">
        <f>-0.151469114615385*(0.3)</f>
        <v>-4.5440734384615378E-2</v>
      </c>
      <c r="K1399">
        <f>0.757345573076923*(0.3)</f>
        <v>0.22720367192307692</v>
      </c>
      <c r="L1399">
        <f>0.371099330807692*(0.3)</f>
        <v>0.11132979924230769</v>
      </c>
      <c r="M1399">
        <f>0.833080130384615*(0.3)</f>
        <v>0.24992403911538463</v>
      </c>
      <c r="N1399">
        <f>0.757345573076923*(0.3)</f>
        <v>0.22720367192307692</v>
      </c>
    </row>
    <row r="1400" spans="1:14" x14ac:dyDescent="0.25">
      <c r="A1400">
        <f>-228.0426189*(0.3)</f>
        <v>-68.412785670000005</v>
      </c>
      <c r="B1400">
        <f>17.5417399153846*(0.3)</f>
        <v>5.2625219746153853</v>
      </c>
      <c r="C1400">
        <f>52.6252197461539*(0.3)</f>
        <v>15.787565923846156</v>
      </c>
      <c r="D1400">
        <f>17.5417399153846*(0.3)</f>
        <v>5.2625219746153853</v>
      </c>
      <c r="E1400">
        <f>17.5417399153846*(0.3)</f>
        <v>5.2625219746153853</v>
      </c>
      <c r="F1400">
        <f>17.5417399153846*(0.3)</f>
        <v>5.2625219746153853</v>
      </c>
      <c r="G1400">
        <f>10.5250439492308*(0.3)</f>
        <v>3.1575131847692313</v>
      </c>
      <c r="H1400">
        <f>17.5417399153846*(0.3)</f>
        <v>5.2625219746153853</v>
      </c>
      <c r="I1400">
        <f>17.5417399153846*(0.3)</f>
        <v>5.2625219746153853</v>
      </c>
      <c r="J1400">
        <f>-3.50834798307692*(0.3)</f>
        <v>-1.0525043949230768</v>
      </c>
      <c r="K1400">
        <f>17.5417399153846*(0.3)</f>
        <v>5.2625219746153853</v>
      </c>
      <c r="L1400">
        <f>8.59545255853846*(0.3)</f>
        <v>2.578635767561539</v>
      </c>
      <c r="M1400">
        <f>19.2959139069231*(0.3)</f>
        <v>5.7887741720769235</v>
      </c>
      <c r="N1400">
        <f>17.5417399153846*(0.3)</f>
        <v>5.2625219746153853</v>
      </c>
    </row>
    <row r="1401" spans="1:14" x14ac:dyDescent="0.25">
      <c r="A1401">
        <f>-11.72409139*(0.3)</f>
        <v>-3.517227417</v>
      </c>
      <c r="B1401">
        <f>0.901853183846154*(0.3)</f>
        <v>0.27055595515384617</v>
      </c>
      <c r="C1401">
        <f>2.70555955153846*(0.3)</f>
        <v>0.81166786546153846</v>
      </c>
      <c r="D1401">
        <f>0.901853183846154*(0.3)</f>
        <v>0.27055595515384617</v>
      </c>
      <c r="E1401">
        <f>0.901853183846154*(0.3)</f>
        <v>0.27055595515384617</v>
      </c>
      <c r="F1401">
        <f>0.901853183846154*(0.3)</f>
        <v>0.27055595515384617</v>
      </c>
      <c r="G1401">
        <f>0.541111910307692*(0.3)</f>
        <v>0.1623335730923077</v>
      </c>
      <c r="H1401">
        <f>0.901853183846154*(0.3)</f>
        <v>0.27055595515384617</v>
      </c>
      <c r="I1401">
        <f>0.901853183846154*(0.3)</f>
        <v>0.27055595515384617</v>
      </c>
      <c r="J1401">
        <f>-0.180370636769231*(0.3)</f>
        <v>-5.4111191030769216E-2</v>
      </c>
      <c r="K1401">
        <f>0.901853183846154*(0.3)</f>
        <v>0.27055595515384617</v>
      </c>
      <c r="L1401">
        <f>0.441908060084615*(0.3)</f>
        <v>0.13257241802538461</v>
      </c>
      <c r="M1401">
        <f>0.992038502230769*(0.3)</f>
        <v>0.29761155066923078</v>
      </c>
      <c r="N1401">
        <f>0.901853183846154*(0.3)</f>
        <v>0.27055595515384617</v>
      </c>
    </row>
    <row r="1402" spans="1:14" x14ac:dyDescent="0.25">
      <c r="A1402">
        <f>-265.9303168*(0.3)</f>
        <v>-79.779095040000001</v>
      </c>
      <c r="B1402">
        <f>20.4561782153846*(0.3)</f>
        <v>6.1368534646153856</v>
      </c>
      <c r="C1402">
        <f>61.3685346461539*(0.3)</f>
        <v>18.410560393846154</v>
      </c>
      <c r="D1402">
        <f>20.4561782153846*(0.3)</f>
        <v>6.1368534646153856</v>
      </c>
      <c r="E1402">
        <f>20.4561782153846*(0.3)</f>
        <v>6.1368534646153856</v>
      </c>
      <c r="F1402">
        <f>20.4561782153846*(0.3)</f>
        <v>6.1368534646153856</v>
      </c>
      <c r="G1402">
        <f>12.2737069292308*(0.3)</f>
        <v>3.6821120787692312</v>
      </c>
      <c r="H1402">
        <f>20.4561782153846*(0.3)</f>
        <v>6.1368534646153856</v>
      </c>
      <c r="I1402">
        <f>20.4561782153846*(0.3)</f>
        <v>6.1368534646153856</v>
      </c>
      <c r="J1402">
        <f>-4.09123564307692*(0.3)</f>
        <v>-1.2273706929230768</v>
      </c>
      <c r="K1402">
        <f>20.4561782153846*(0.3)</f>
        <v>6.1368534646153856</v>
      </c>
      <c r="L1402">
        <f>10.0235273255385*(0.3)</f>
        <v>3.0070581976615389</v>
      </c>
      <c r="M1402">
        <f>22.5017960369231*(0.3)</f>
        <v>6.7505388110769244</v>
      </c>
      <c r="N1402">
        <f>20.4561782153846*(0.3)</f>
        <v>6.1368534646153856</v>
      </c>
    </row>
    <row r="1403" spans="1:14" x14ac:dyDescent="0.25">
      <c r="A1403">
        <f>-16.07796266*(0.3)</f>
        <v>-4.8233887979999999</v>
      </c>
      <c r="B1403">
        <f>1.23676635846154*(0.3)</f>
        <v>0.37102990753846155</v>
      </c>
      <c r="C1403">
        <f>3.71029907538462*(0.3)</f>
        <v>1.1130897226153846</v>
      </c>
      <c r="D1403">
        <f>1.23676635846154*(0.3)</f>
        <v>0.37102990753846155</v>
      </c>
      <c r="E1403">
        <f>1.23676635846154*(0.3)</f>
        <v>0.37102990753846155</v>
      </c>
      <c r="F1403">
        <f>1.23676635846154*(0.3)</f>
        <v>0.37102990753846155</v>
      </c>
      <c r="G1403">
        <f>0.742059815076923*(0.3)</f>
        <v>0.22261794452307693</v>
      </c>
      <c r="H1403">
        <f>1.23676635846154*(0.3)</f>
        <v>0.37102990753846155</v>
      </c>
      <c r="I1403">
        <f>1.23676635846154*(0.3)</f>
        <v>0.37102990753846155</v>
      </c>
      <c r="J1403">
        <f>-0.247353271692308*(0.3)</f>
        <v>-7.4205981507692295E-2</v>
      </c>
      <c r="K1403">
        <f>1.23676635846154*(0.3)</f>
        <v>0.37102990753846155</v>
      </c>
      <c r="L1403">
        <f>0.606015515646154*(0.3)</f>
        <v>0.18180465469384616</v>
      </c>
      <c r="M1403">
        <f>1.36044299430769*(0.3)</f>
        <v>0.4081328982923077</v>
      </c>
      <c r="N1403">
        <f>1.23676635846154*(0.3)</f>
        <v>0.37102990753846155</v>
      </c>
    </row>
    <row r="1404" spans="1:14" x14ac:dyDescent="0.25">
      <c r="A1404">
        <f>-302.1097251*(0.3)</f>
        <v>-90.63291753</v>
      </c>
      <c r="B1404">
        <f>23.2392096230769*(0.3)</f>
        <v>6.9717628869230772</v>
      </c>
      <c r="C1404">
        <f>69.7176288692308*(0.3)</f>
        <v>20.915288660769228</v>
      </c>
      <c r="D1404">
        <f>23.2392096230769*(0.3)</f>
        <v>6.9717628869230772</v>
      </c>
      <c r="E1404">
        <f>23.2392096230769*(0.3)</f>
        <v>6.9717628869230772</v>
      </c>
      <c r="F1404">
        <f>23.2392096230769*(0.3)</f>
        <v>6.9717628869230772</v>
      </c>
      <c r="G1404">
        <f>13.9435257738462*(0.3)</f>
        <v>4.1830577321538458</v>
      </c>
      <c r="H1404">
        <f>23.2392096230769*(0.3)</f>
        <v>6.9717628869230772</v>
      </c>
      <c r="I1404">
        <f>23.2392096230769*(0.3)</f>
        <v>6.9717628869230772</v>
      </c>
      <c r="J1404">
        <f>-4.64784192461538*(0.3)</f>
        <v>-1.394352577384615</v>
      </c>
      <c r="K1404">
        <f>23.2392096230769*(0.3)</f>
        <v>6.9717628869230772</v>
      </c>
      <c r="L1404">
        <f>11.3872127153077*(0.3)</f>
        <v>3.4161638145923074</v>
      </c>
      <c r="M1404">
        <f>25.5631305853846*(0.3)</f>
        <v>7.6689391756153853</v>
      </c>
      <c r="N1404">
        <f>23.2392096230769*(0.3)</f>
        <v>6.9717628869230772</v>
      </c>
    </row>
    <row r="1405" spans="1:14" x14ac:dyDescent="0.25">
      <c r="A1405">
        <f>-16.22438028*(0.3)</f>
        <v>-4.8673140839999993</v>
      </c>
      <c r="B1405">
        <f>1.24802925230769*(0.3)</f>
        <v>0.37440877569230763</v>
      </c>
      <c r="C1405">
        <f>3.74408775692308*(0.3)</f>
        <v>1.1232263270769229</v>
      </c>
      <c r="D1405">
        <f>1.24802925230769*(0.3)</f>
        <v>0.37440877569230763</v>
      </c>
      <c r="E1405">
        <f>1.24802925230769*(0.3)</f>
        <v>0.37440877569230763</v>
      </c>
      <c r="F1405">
        <f>1.24802925230769*(0.3)</f>
        <v>0.37440877569230763</v>
      </c>
      <c r="G1405">
        <f>0.748817551384615*(0.3)</f>
        <v>0.22464526541538457</v>
      </c>
      <c r="H1405">
        <f>1.24802925230769*(0.3)</f>
        <v>0.37440877569230763</v>
      </c>
      <c r="I1405">
        <f>1.24802925230769*(0.3)</f>
        <v>0.37440877569230763</v>
      </c>
      <c r="J1405">
        <f>-0.249605850461538*(0.3)</f>
        <v>-7.4881755138461514E-2</v>
      </c>
      <c r="K1405">
        <f>1.24802925230769*(0.3)</f>
        <v>0.37440877569230763</v>
      </c>
      <c r="L1405">
        <f>0.611534333630769*(0.3)</f>
        <v>0.18346030008923073</v>
      </c>
      <c r="M1405">
        <f>1.37283217753846*(0.3)</f>
        <v>0.41184965326153844</v>
      </c>
      <c r="N1405">
        <f>1.24802925230769*(0.3)</f>
        <v>0.37440877569230763</v>
      </c>
    </row>
    <row r="1406" spans="1:14" x14ac:dyDescent="0.25">
      <c r="A1406">
        <f>-342.2298804*(0.3)</f>
        <v>-102.66896412</v>
      </c>
      <c r="B1406">
        <f>26.3253754153846*(0.3)</f>
        <v>7.8976126246153848</v>
      </c>
      <c r="C1406">
        <f>78.9761262461539*(0.3)</f>
        <v>23.692837873846155</v>
      </c>
      <c r="D1406">
        <f>26.3253754153846*(0.3)</f>
        <v>7.8976126246153848</v>
      </c>
      <c r="E1406">
        <f>26.3253754153846*(0.3)</f>
        <v>7.8976126246153848</v>
      </c>
      <c r="F1406">
        <f>26.3253754153846*(0.3)</f>
        <v>7.8976126246153848</v>
      </c>
      <c r="G1406">
        <f>15.7952252492308*(0.3)</f>
        <v>4.7385675747692311</v>
      </c>
      <c r="H1406">
        <f>26.3253754153846*(0.3)</f>
        <v>7.8976126246153848</v>
      </c>
      <c r="I1406">
        <f>26.3253754153846*(0.3)</f>
        <v>7.8976126246153848</v>
      </c>
      <c r="J1406">
        <f>-5.26507508307692*(0.3)</f>
        <v>-1.5795225249230764</v>
      </c>
      <c r="K1406">
        <f>26.3253754153846*(0.3)</f>
        <v>7.8976126246153848</v>
      </c>
      <c r="L1406">
        <f>12.8994339535385*(0.3)</f>
        <v>3.8698301860615385</v>
      </c>
      <c r="M1406">
        <f>28.9579129569231*(0.3)</f>
        <v>8.6873738870769248</v>
      </c>
      <c r="N1406">
        <f>26.3253754153846*(0.3)</f>
        <v>7.8976126246153848</v>
      </c>
    </row>
    <row r="1407" spans="1:14" x14ac:dyDescent="0.25">
      <c r="A1407">
        <f>-16.15874666*(0.3)</f>
        <v>-4.8476239979999995</v>
      </c>
      <c r="B1407">
        <f>1.24298051230769*(0.3)</f>
        <v>0.37289415369230766</v>
      </c>
      <c r="C1407">
        <f>3.72894153692308*(0.3)</f>
        <v>1.1186824610769228</v>
      </c>
      <c r="D1407">
        <f>1.24298051230769*(0.3)</f>
        <v>0.37289415369230766</v>
      </c>
      <c r="E1407">
        <f>1.24298051230769*(0.3)</f>
        <v>0.37289415369230766</v>
      </c>
      <c r="F1407">
        <f>1.24298051230769*(0.3)</f>
        <v>0.37289415369230766</v>
      </c>
      <c r="G1407">
        <f>0.745788307384615*(0.3)</f>
        <v>0.22373649221538458</v>
      </c>
      <c r="H1407">
        <f>1.24298051230769*(0.3)</f>
        <v>0.37289415369230766</v>
      </c>
      <c r="I1407">
        <f>1.24298051230769*(0.3)</f>
        <v>0.37289415369230766</v>
      </c>
      <c r="J1407">
        <f>-0.248596102461538*(0.3)</f>
        <v>-7.4578830738461513E-2</v>
      </c>
      <c r="K1407">
        <f>1.24298051230769*(0.3)</f>
        <v>0.37289415369230766</v>
      </c>
      <c r="L1407">
        <f>0.609060451030769*(0.3)</f>
        <v>0.18271813530923076</v>
      </c>
      <c r="M1407">
        <f>1.36727856353846*(0.3)</f>
        <v>0.41018356906153847</v>
      </c>
      <c r="N1407">
        <f>1.24298051230769*(0.3)</f>
        <v>0.37289415369230766</v>
      </c>
    </row>
    <row r="1408" spans="1:14" x14ac:dyDescent="0.25">
      <c r="A1408">
        <f>-378.3497178*(0.3)</f>
        <v>-113.50491534</v>
      </c>
      <c r="B1408">
        <f>29.1038244461538*(0.3)</f>
        <v>8.7311473338461543</v>
      </c>
      <c r="C1408">
        <f>87.3114733384615*(0.3)</f>
        <v>26.193442001538461</v>
      </c>
      <c r="D1408">
        <f>29.1038244461538*(0.3)</f>
        <v>8.7311473338461543</v>
      </c>
      <c r="E1408">
        <f>29.1038244461538*(0.3)</f>
        <v>8.7311473338461543</v>
      </c>
      <c r="F1408">
        <f>29.1038244461538*(0.3)</f>
        <v>8.7311473338461543</v>
      </c>
      <c r="G1408">
        <f>17.4622946676923*(0.3)</f>
        <v>5.2386884003076926</v>
      </c>
      <c r="H1408">
        <f>29.1038244461538*(0.3)</f>
        <v>8.7311473338461543</v>
      </c>
      <c r="I1408">
        <f>29.1038244461538*(0.3)</f>
        <v>8.7311473338461543</v>
      </c>
      <c r="J1408">
        <f>-5.82076488923077*(0.3)</f>
        <v>-1.7462294667692306</v>
      </c>
      <c r="K1408">
        <f>29.1038244461538*(0.3)</f>
        <v>8.7311473338461543</v>
      </c>
      <c r="L1408">
        <f>14.2608739786154*(0.3)</f>
        <v>4.2782621935846148</v>
      </c>
      <c r="M1408">
        <f>32.0142068907692*(0.3)</f>
        <v>9.6042620672307706</v>
      </c>
      <c r="N1408">
        <f>29.1038244461538*(0.3)</f>
        <v>8.7311473338461543</v>
      </c>
    </row>
    <row r="1409" spans="1:14" x14ac:dyDescent="0.25">
      <c r="A1409">
        <f>-7.271000935*(0.3)</f>
        <v>-2.1813002804999999</v>
      </c>
      <c r="B1409">
        <f>0.559307764230769*(0.3)</f>
        <v>0.16779232926923077</v>
      </c>
      <c r="C1409">
        <f>1.67792329269231*(0.3)</f>
        <v>0.50337698780769224</v>
      </c>
      <c r="D1409">
        <f>0.559307764230769*(0.3)</f>
        <v>0.16779232926923077</v>
      </c>
      <c r="E1409">
        <f>0.559307764230769*(0.3)</f>
        <v>0.16779232926923077</v>
      </c>
      <c r="F1409">
        <f>0.559307764230769*(0.3)</f>
        <v>0.16779232926923077</v>
      </c>
      <c r="G1409">
        <f>0.335584658538462*(0.3)</f>
        <v>0.10067539756153845</v>
      </c>
      <c r="H1409">
        <f>0.559307764230769*(0.3)</f>
        <v>0.16779232926923077</v>
      </c>
      <c r="I1409">
        <f>0.559307764230769*(0.3)</f>
        <v>0.16779232926923077</v>
      </c>
      <c r="J1409">
        <f>-0.111861552846154*(0.3)</f>
        <v>-3.3558465853846142E-2</v>
      </c>
      <c r="K1409">
        <f>0.559307764230769*(0.3)</f>
        <v>0.16779232926923077</v>
      </c>
      <c r="L1409">
        <f>0.274060804473077*(0.3)</f>
        <v>8.2218241341923071E-2</v>
      </c>
      <c r="M1409">
        <f>0.615238540653846*(0.3)</f>
        <v>0.18457156219615387</v>
      </c>
      <c r="N1409">
        <f>0.559307764230769*(0.3)</f>
        <v>0.16779232926923077</v>
      </c>
    </row>
    <row r="1410" spans="1:14" x14ac:dyDescent="0.25">
      <c r="A1410">
        <f>-0.413201966*(0.3)</f>
        <v>-0.12396058979999999</v>
      </c>
      <c r="B1410">
        <f>0.0317847666153846*(0.3)</f>
        <v>9.5354299846153821E-3</v>
      </c>
      <c r="C1410">
        <f>0.0953542998461538*(0.3)</f>
        <v>2.8606289953846148E-2</v>
      </c>
      <c r="D1410">
        <f>0.0317847666153846*(0.3)</f>
        <v>9.5354299846153821E-3</v>
      </c>
      <c r="E1410">
        <f>0.0317847666153846*(0.3)</f>
        <v>9.5354299846153821E-3</v>
      </c>
      <c r="F1410">
        <f>0.0317847666153846*(0.3)</f>
        <v>9.5354299846153821E-3</v>
      </c>
      <c r="G1410">
        <f>0.0190708599692308*(0.3)</f>
        <v>5.7212579907692292E-3</v>
      </c>
      <c r="H1410">
        <f>0.0317847666153846*(0.3)</f>
        <v>9.5354299846153821E-3</v>
      </c>
      <c r="I1410">
        <f>0.0317847666153846*(0.3)</f>
        <v>9.5354299846153821E-3</v>
      </c>
      <c r="J1410">
        <f>-0.00635695332307692*(0.3)</f>
        <v>-1.907085996923076E-3</v>
      </c>
      <c r="K1410">
        <f>0.0317847666153846*(0.3)</f>
        <v>9.5354299846153821E-3</v>
      </c>
      <c r="L1410">
        <f>0.0155745356415385*(0.3)</f>
        <v>4.6723606924615373E-3</v>
      </c>
      <c r="M1410">
        <f>0.0349632432769231*(0.3)</f>
        <v>1.0488972983076921E-2</v>
      </c>
      <c r="N1410">
        <f>0.0317847666153846*(0.3)</f>
        <v>9.5354299846153821E-3</v>
      </c>
    </row>
    <row r="1411" spans="1:14" x14ac:dyDescent="0.25">
      <c r="A1411">
        <f>-9.556818952*(0.3)</f>
        <v>-2.8670456855999999</v>
      </c>
      <c r="B1411">
        <f>0.735139919384615*(0.3)</f>
        <v>0.22054197581538462</v>
      </c>
      <c r="C1411">
        <f>2.20541975815385*(0.3)</f>
        <v>0.66162592744615389</v>
      </c>
      <c r="D1411">
        <f>0.735139919384615*(0.3)</f>
        <v>0.22054197581538462</v>
      </c>
      <c r="E1411">
        <f>0.735139919384615*(0.3)</f>
        <v>0.22054197581538462</v>
      </c>
      <c r="F1411">
        <f>0.735139919384615*(0.3)</f>
        <v>0.22054197581538462</v>
      </c>
      <c r="G1411">
        <f>0.441083951630769*(0.3)</f>
        <v>0.13232518548923078</v>
      </c>
      <c r="H1411">
        <f>0.735139919384615*(0.3)</f>
        <v>0.22054197581538462</v>
      </c>
      <c r="I1411">
        <f>0.735139919384615*(0.3)</f>
        <v>0.22054197581538462</v>
      </c>
      <c r="J1411">
        <f>-0.147027983876923*(0.3)</f>
        <v>-4.4108395163076915E-2</v>
      </c>
      <c r="K1411">
        <f>0.735139919384615*(0.3)</f>
        <v>0.22054197581538462</v>
      </c>
      <c r="L1411">
        <f>0.360218560498462*(0.3)</f>
        <v>0.10806556814953847</v>
      </c>
      <c r="M1411">
        <f>0.808653911323077*(0.3)</f>
        <v>0.2425961733969231</v>
      </c>
      <c r="N1411">
        <f>0.735139919384615*(0.3)</f>
        <v>0.22054197581538462</v>
      </c>
    </row>
    <row r="1412" spans="1:14" x14ac:dyDescent="0.25">
      <c r="A1412">
        <f>2.830809014*(0.3)</f>
        <v>0.84924270420000003</v>
      </c>
      <c r="B1412">
        <f>-0.217754539538462*(0.3)</f>
        <v>-6.5326361861538465E-2</v>
      </c>
      <c r="C1412">
        <f>-0.653263618615385*(0.3)</f>
        <v>-0.19597908558461538</v>
      </c>
      <c r="D1412">
        <f>-0.217754539538462*(0.3)</f>
        <v>-6.5326361861538465E-2</v>
      </c>
      <c r="E1412">
        <f>-0.217754539538462*(0.3)</f>
        <v>-6.5326361861538465E-2</v>
      </c>
      <c r="F1412">
        <f>-0.217754539538462*(0.3)</f>
        <v>-6.5326361861538465E-2</v>
      </c>
      <c r="G1412">
        <f>-0.130652723723077*(0.3)</f>
        <v>-3.9195817116923076E-2</v>
      </c>
      <c r="H1412">
        <f>-0.217754539538462*(0.3)</f>
        <v>-6.5326361861538465E-2</v>
      </c>
      <c r="I1412">
        <f>-0.217754539538462*(0.3)</f>
        <v>-6.5326361861538465E-2</v>
      </c>
      <c r="J1412">
        <f>0.0435509079076923*(0.3)</f>
        <v>1.3065272372307691E-2</v>
      </c>
      <c r="K1412">
        <f>-0.217754539538462*(0.3)</f>
        <v>-6.5326361861538465E-2</v>
      </c>
      <c r="L1412">
        <f>-0.106699724373846*(0.3)</f>
        <v>-3.2009917312153843E-2</v>
      </c>
      <c r="M1412">
        <f>-0.239529993492308*(0.3)</f>
        <v>-7.1858998047692316E-2</v>
      </c>
      <c r="N1412">
        <f>-0.217754539538462*(0.3)</f>
        <v>-6.5326361861538465E-2</v>
      </c>
    </row>
    <row r="1413" spans="1:14" x14ac:dyDescent="0.25">
      <c r="A1413">
        <f>-12.07787563*(0.3)</f>
        <v>-3.6233626889999995</v>
      </c>
      <c r="B1413">
        <f>0.929067356153846*(0.3)</f>
        <v>0.27872020684615378</v>
      </c>
      <c r="C1413">
        <f>2.78720206846154*(0.3)</f>
        <v>0.83616062053846152</v>
      </c>
      <c r="D1413">
        <f>0.929067356153846*(0.3)</f>
        <v>0.27872020684615378</v>
      </c>
      <c r="E1413">
        <f>0.929067356153846*(0.3)</f>
        <v>0.27872020684615378</v>
      </c>
      <c r="F1413">
        <f>0.929067356153846*(0.3)</f>
        <v>0.27872020684615378</v>
      </c>
      <c r="G1413">
        <f>0.557440413692308*(0.3)</f>
        <v>0.16723212410769225</v>
      </c>
      <c r="H1413">
        <f>0.929067356153846*(0.3)</f>
        <v>0.27872020684615378</v>
      </c>
      <c r="I1413">
        <f>0.929067356153846*(0.3)</f>
        <v>0.27872020684615378</v>
      </c>
      <c r="J1413">
        <f>-0.185813471230769*(0.3)</f>
        <v>-5.5744041369230744E-2</v>
      </c>
      <c r="K1413">
        <f>0.929067356153846*(0.3)</f>
        <v>0.27872020684615378</v>
      </c>
      <c r="L1413">
        <f>0.455243004515385*(0.3)</f>
        <v>0.13657290135461536</v>
      </c>
      <c r="M1413">
        <f>1.02197409176923*(0.3)</f>
        <v>0.30659222753076926</v>
      </c>
      <c r="N1413">
        <f>0.929067356153846*(0.3)</f>
        <v>0.27872020684615378</v>
      </c>
    </row>
    <row r="1414" spans="1:14" x14ac:dyDescent="0.25">
      <c r="A1414">
        <f>-2.291302324*(0.3)</f>
        <v>-0.68739069720000001</v>
      </c>
      <c r="B1414">
        <f>0.176254024923077*(0.3)</f>
        <v>5.2876207476923079E-2</v>
      </c>
      <c r="C1414">
        <f>0.528762074769231*(0.3)</f>
        <v>0.15862862243076922</v>
      </c>
      <c r="D1414">
        <f>0.176254024923077*(0.3)</f>
        <v>5.2876207476923079E-2</v>
      </c>
      <c r="E1414">
        <f>0.176254024923077*(0.3)</f>
        <v>5.2876207476923079E-2</v>
      </c>
      <c r="F1414">
        <f>0.176254024923077*(0.3)</f>
        <v>5.2876207476923079E-2</v>
      </c>
      <c r="G1414">
        <f>0.105752414953846*(0.3)</f>
        <v>3.1725724486153843E-2</v>
      </c>
      <c r="H1414">
        <f>0.176254024923077*(0.3)</f>
        <v>5.2876207476923079E-2</v>
      </c>
      <c r="I1414">
        <f>0.176254024923077*(0.3)</f>
        <v>5.2876207476923079E-2</v>
      </c>
      <c r="J1414">
        <f>-0.0352508049846154*(0.3)</f>
        <v>-1.0575241495384613E-2</v>
      </c>
      <c r="K1414">
        <f>0.176254024923077*(0.3)</f>
        <v>5.2876207476923079E-2</v>
      </c>
      <c r="L1414">
        <f>0.0863644722123077*(0.3)</f>
        <v>2.5909341663692308E-2</v>
      </c>
      <c r="M1414">
        <f>0.193879427415385*(0.3)</f>
        <v>5.816382822461539E-2</v>
      </c>
      <c r="N1414">
        <f>0.176254024923077*(0.3)</f>
        <v>5.2876207476923079E-2</v>
      </c>
    </row>
    <row r="1415" spans="1:14" x14ac:dyDescent="0.25">
      <c r="A1415">
        <f>-14.89920738*(0.3)</f>
        <v>-4.4697622140000002</v>
      </c>
      <c r="B1415">
        <f>1.14609287538462*(0.3)</f>
        <v>0.34382786261538462</v>
      </c>
      <c r="C1415">
        <f>3.43827862615385*(0.3)</f>
        <v>1.0314835878461537</v>
      </c>
      <c r="D1415">
        <f>1.14609287538462*(0.3)</f>
        <v>0.34382786261538462</v>
      </c>
      <c r="E1415">
        <f>1.14609287538462*(0.3)</f>
        <v>0.34382786261538462</v>
      </c>
      <c r="F1415">
        <f>1.14609287538462*(0.3)</f>
        <v>0.34382786261538462</v>
      </c>
      <c r="G1415">
        <f>0.687655725230769*(0.3)</f>
        <v>0.20629671756923076</v>
      </c>
      <c r="H1415">
        <f>1.14609287538462*(0.3)</f>
        <v>0.34382786261538462</v>
      </c>
      <c r="I1415">
        <f>1.14609287538462*(0.3)</f>
        <v>0.34382786261538462</v>
      </c>
      <c r="J1415">
        <f>-0.229218575076923*(0.3)</f>
        <v>-6.8765572523076912E-2</v>
      </c>
      <c r="K1415">
        <f>1.14609287538462*(0.3)</f>
        <v>0.34382786261538462</v>
      </c>
      <c r="L1415">
        <f>0.561585508938461*(0.3)</f>
        <v>0.16847565268153844</v>
      </c>
      <c r="M1415">
        <f>1.26070216292308*(0.3)</f>
        <v>0.37821064887692307</v>
      </c>
      <c r="N1415">
        <f>1.14609287538462*(0.3)</f>
        <v>0.34382786261538462</v>
      </c>
    </row>
    <row r="1416" spans="1:14" x14ac:dyDescent="0.25">
      <c r="A1416">
        <f>-0.452472157*(0.3)</f>
        <v>-0.1357416471</v>
      </c>
      <c r="B1416">
        <f>0.0348055505384615*(0.3)</f>
        <v>1.0441665161538461E-2</v>
      </c>
      <c r="C1416">
        <f>0.104416651615385*(0.3)</f>
        <v>3.1324995484615377E-2</v>
      </c>
      <c r="D1416">
        <f>0.0348055505384615*(0.3)</f>
        <v>1.0441665161538461E-2</v>
      </c>
      <c r="E1416">
        <f>0.0348055505384615*(0.3)</f>
        <v>1.0441665161538461E-2</v>
      </c>
      <c r="F1416">
        <f>0.0348055505384615*(0.3)</f>
        <v>1.0441665161538461E-2</v>
      </c>
      <c r="G1416">
        <f>0.0208833303230769*(0.3)</f>
        <v>6.2649990969230766E-3</v>
      </c>
      <c r="H1416">
        <f>0.0348055505384615*(0.3)</f>
        <v>1.0441665161538461E-2</v>
      </c>
      <c r="I1416">
        <f>0.0348055505384615*(0.3)</f>
        <v>1.0441665161538461E-2</v>
      </c>
      <c r="J1416">
        <f>-0.00696111010769231*(0.3)</f>
        <v>-2.0883330323076916E-3</v>
      </c>
      <c r="K1416">
        <f>0.0348055505384615*(0.3)</f>
        <v>1.0441665161538461E-2</v>
      </c>
      <c r="L1416">
        <f>0.0170547197638462*(0.3)</f>
        <v>5.1164159291538459E-3</v>
      </c>
      <c r="M1416">
        <f>0.0382861055923077*(0.3)</f>
        <v>1.1485831677692309E-2</v>
      </c>
      <c r="N1416">
        <f>0.0348055505384615*(0.3)</f>
        <v>1.0441665161538461E-2</v>
      </c>
    </row>
    <row r="1417" spans="1:14" x14ac:dyDescent="0.25">
      <c r="A1417">
        <f>-17.97497712*(0.3)</f>
        <v>-5.3924931359999997</v>
      </c>
      <c r="B1417">
        <f>1.38269054769231*(0.3)</f>
        <v>0.41480716430769221</v>
      </c>
      <c r="C1417">
        <f>4.14807164307692*(0.3)</f>
        <v>1.2444214929230766</v>
      </c>
      <c r="D1417">
        <f>1.38269054769231*(0.3)</f>
        <v>0.41480716430769221</v>
      </c>
      <c r="E1417">
        <f>1.38269054769231*(0.3)</f>
        <v>0.41480716430769221</v>
      </c>
      <c r="F1417">
        <f>1.38269054769231*(0.3)</f>
        <v>0.41480716430769221</v>
      </c>
      <c r="G1417">
        <f>0.829614328615384*(0.3)</f>
        <v>0.2488842985846153</v>
      </c>
      <c r="H1417">
        <f>1.38269054769231*(0.3)</f>
        <v>0.41480716430769221</v>
      </c>
      <c r="I1417">
        <f>1.38269054769231*(0.3)</f>
        <v>0.41480716430769221</v>
      </c>
      <c r="J1417">
        <f>-0.276538109538461*(0.3)</f>
        <v>-8.2961432861538426E-2</v>
      </c>
      <c r="K1417">
        <f>1.38269054769231*(0.3)</f>
        <v>0.41480716430769221</v>
      </c>
      <c r="L1417">
        <f>0.677518368369231*(0.3)</f>
        <v>0.20325551051076918</v>
      </c>
      <c r="M1417">
        <f>1.52095960246154*(0.3)</f>
        <v>0.45628788073846149</v>
      </c>
      <c r="N1417">
        <f>1.38269054769231*(0.3)</f>
        <v>0.41480716430769221</v>
      </c>
    </row>
    <row r="1418" spans="1:14" x14ac:dyDescent="0.25">
      <c r="A1418">
        <f>-0.243895038*(0.3)</f>
        <v>-7.3168511399999997E-2</v>
      </c>
      <c r="B1418">
        <f>0.0187611567692308*(0.3)</f>
        <v>5.6283470307692306E-3</v>
      </c>
      <c r="C1418">
        <f>0.0562834703076923*(0.3)</f>
        <v>1.6885041092307693E-2</v>
      </c>
      <c r="D1418">
        <f>0.0187611567692308*(0.3)</f>
        <v>5.6283470307692306E-3</v>
      </c>
      <c r="E1418">
        <f>0.0187611567692308*(0.3)</f>
        <v>5.6283470307692306E-3</v>
      </c>
      <c r="F1418">
        <f>0.0187611567692308*(0.3)</f>
        <v>5.6283470307692306E-3</v>
      </c>
      <c r="G1418">
        <f>0.0112566940615385*(0.3)</f>
        <v>3.3770082184615383E-3</v>
      </c>
      <c r="H1418">
        <f>0.0187611567692308*(0.3)</f>
        <v>5.6283470307692306E-3</v>
      </c>
      <c r="I1418">
        <f>0.0187611567692308*(0.3)</f>
        <v>5.6283470307692306E-3</v>
      </c>
      <c r="J1418">
        <f>-0.00375223135384615*(0.3)</f>
        <v>-1.1256694061538459E-3</v>
      </c>
      <c r="K1418">
        <f>0.0187611567692308*(0.3)</f>
        <v>5.6283470307692306E-3</v>
      </c>
      <c r="L1418">
        <f>0.00919296681692308*(0.3)</f>
        <v>2.7578900450769234E-3</v>
      </c>
      <c r="M1418">
        <f>0.0206372724461538*(0.3)</f>
        <v>6.1911817338461544E-3</v>
      </c>
      <c r="N1418">
        <f>0.0187611567692308*(0.3)</f>
        <v>5.6283470307692306E-3</v>
      </c>
    </row>
    <row r="1419" spans="1:14" x14ac:dyDescent="0.25">
      <c r="A1419">
        <f>-22.69070652*(0.3)</f>
        <v>-6.8072119559999997</v>
      </c>
      <c r="B1419">
        <f>1.74543896307692*(0.3)</f>
        <v>0.52363168892307688</v>
      </c>
      <c r="C1419">
        <f>5.23631688923077*(0.3)</f>
        <v>1.5708950667692305</v>
      </c>
      <c r="D1419">
        <f>1.74543896307692*(0.3)</f>
        <v>0.52363168892307688</v>
      </c>
      <c r="E1419">
        <f>1.74543896307692*(0.3)</f>
        <v>0.52363168892307688</v>
      </c>
      <c r="F1419">
        <f>1.74543896307692*(0.3)</f>
        <v>0.52363168892307688</v>
      </c>
      <c r="G1419">
        <f>1.04726337784615*(0.3)</f>
        <v>0.31417901335384613</v>
      </c>
      <c r="H1419">
        <f>1.74543896307692*(0.3)</f>
        <v>0.52363168892307688</v>
      </c>
      <c r="I1419">
        <f>1.74543896307692*(0.3)</f>
        <v>0.52363168892307688</v>
      </c>
      <c r="J1419">
        <f>-0.349087792615385*(0.3)</f>
        <v>-0.10472633778461536</v>
      </c>
      <c r="K1419">
        <f>1.74543896307692*(0.3)</f>
        <v>0.52363168892307688</v>
      </c>
      <c r="L1419">
        <f>0.855265091907692*(0.3)</f>
        <v>0.25657952757230762</v>
      </c>
      <c r="M1419">
        <f>1.91998285938462*(0.3)</f>
        <v>0.57599485781538462</v>
      </c>
      <c r="N1419">
        <f>1.74543896307692*(0.3)</f>
        <v>0.52363168892307688</v>
      </c>
    </row>
    <row r="1420" spans="1:14" x14ac:dyDescent="0.25">
      <c r="A1420">
        <f>-3.169239824*(0.3)</f>
        <v>-0.95077194719999991</v>
      </c>
      <c r="B1420">
        <f>0.243787678769231*(0.3)</f>
        <v>7.3136303630769228E-2</v>
      </c>
      <c r="C1420">
        <f>0.731363036307692*(0.3)</f>
        <v>0.21940891089230768</v>
      </c>
      <c r="D1420">
        <f>0.243787678769231*(0.3)</f>
        <v>7.3136303630769228E-2</v>
      </c>
      <c r="E1420">
        <f>0.243787678769231*(0.3)</f>
        <v>7.3136303630769228E-2</v>
      </c>
      <c r="F1420">
        <f>0.243787678769231*(0.3)</f>
        <v>7.3136303630769228E-2</v>
      </c>
      <c r="G1420">
        <f>0.146272607261538*(0.3)</f>
        <v>4.3881782178461538E-2</v>
      </c>
      <c r="H1420">
        <f>0.243787678769231*(0.3)</f>
        <v>7.3136303630769228E-2</v>
      </c>
      <c r="I1420">
        <f>0.243787678769231*(0.3)</f>
        <v>7.3136303630769228E-2</v>
      </c>
      <c r="J1420">
        <f>-0.0487575357538461*(0.3)</f>
        <v>-1.4627260726153841E-2</v>
      </c>
      <c r="K1420">
        <f>0.243787678769231*(0.3)</f>
        <v>7.3136303630769228E-2</v>
      </c>
      <c r="L1420">
        <f>0.119455962596923*(0.3)</f>
        <v>3.5836788779076922E-2</v>
      </c>
      <c r="M1420">
        <f>0.268166446646154*(0.3)</f>
        <v>8.0449933993846159E-2</v>
      </c>
      <c r="N1420">
        <f>0.243787678769231*(0.3)</f>
        <v>7.3136303630769228E-2</v>
      </c>
    </row>
    <row r="1421" spans="1:14" x14ac:dyDescent="0.25">
      <c r="A1421">
        <f>-27.20854949*(0.3)</f>
        <v>-8.1625648469999987</v>
      </c>
      <c r="B1421">
        <f>2.09296534538462*(0.3)</f>
        <v>0.62788960361538459</v>
      </c>
      <c r="C1421">
        <f>6.27889603615385*(0.3)</f>
        <v>1.8836688108461539</v>
      </c>
      <c r="D1421">
        <f>2.09296534538462*(0.3)</f>
        <v>0.62788960361538459</v>
      </c>
      <c r="E1421">
        <f>2.09296534538462*(0.3)</f>
        <v>0.62788960361538459</v>
      </c>
      <c r="F1421">
        <f>2.09296534538462*(0.3)</f>
        <v>0.62788960361538459</v>
      </c>
      <c r="G1421">
        <f>1.25577920723077*(0.3)</f>
        <v>0.37673376216923077</v>
      </c>
      <c r="H1421">
        <f>2.09296534538462*(0.3)</f>
        <v>0.62788960361538459</v>
      </c>
      <c r="I1421">
        <f>2.09296534538462*(0.3)</f>
        <v>0.62788960361538459</v>
      </c>
      <c r="J1421">
        <f>-0.418593069076923*(0.3)</f>
        <v>-0.12557792072307689</v>
      </c>
      <c r="K1421">
        <f>2.09296534538462*(0.3)</f>
        <v>0.62788960361538459</v>
      </c>
      <c r="L1421">
        <f>1.02555301923846*(0.3)</f>
        <v>0.30766590577153846</v>
      </c>
      <c r="M1421">
        <f>2.30226187992308*(0.3)</f>
        <v>0.69067856397692318</v>
      </c>
      <c r="N1421">
        <f>2.09296534538462*(0.3)</f>
        <v>0.62788960361538459</v>
      </c>
    </row>
    <row r="1422" spans="1:14" x14ac:dyDescent="0.25">
      <c r="A1422">
        <f>-2.715536034*(0.3)</f>
        <v>-0.81466081019999992</v>
      </c>
      <c r="B1422">
        <f>0.208887387230769*(0.3)</f>
        <v>6.2666216169230765E-2</v>
      </c>
      <c r="C1422">
        <f>0.626662161692308*(0.3)</f>
        <v>0.18799864850769227</v>
      </c>
      <c r="D1422">
        <f>0.208887387230769*(0.3)</f>
        <v>6.2666216169230765E-2</v>
      </c>
      <c r="E1422">
        <f>0.208887387230769*(0.3)</f>
        <v>6.2666216169230765E-2</v>
      </c>
      <c r="F1422">
        <f>0.208887387230769*(0.3)</f>
        <v>6.2666216169230765E-2</v>
      </c>
      <c r="G1422">
        <f>0.125332432338462*(0.3)</f>
        <v>3.7599729701538458E-2</v>
      </c>
      <c r="H1422">
        <f>0.208887387230769*(0.3)</f>
        <v>6.2666216169230765E-2</v>
      </c>
      <c r="I1422">
        <f>0.208887387230769*(0.3)</f>
        <v>6.2666216169230765E-2</v>
      </c>
      <c r="J1422">
        <f>-0.0417774774461538*(0.3)</f>
        <v>-1.253324323384615E-2</v>
      </c>
      <c r="K1422">
        <f>0.208887387230769*(0.3)</f>
        <v>6.2666216169230765E-2</v>
      </c>
      <c r="L1422">
        <f>0.102354819743077*(0.3)</f>
        <v>3.0706445922923074E-2</v>
      </c>
      <c r="M1422">
        <f>0.229776125953846*(0.3)</f>
        <v>6.8932837786153847E-2</v>
      </c>
      <c r="N1422">
        <f>0.208887387230769*(0.3)</f>
        <v>6.2666216169230765E-2</v>
      </c>
    </row>
    <row r="1423" spans="1:14" x14ac:dyDescent="0.25">
      <c r="A1423">
        <f>-26.17784897*(0.3)</f>
        <v>-7.8533546909999998</v>
      </c>
      <c r="B1423">
        <f>2.01368069*(0.3)</f>
        <v>0.604104207</v>
      </c>
      <c r="C1423">
        <f>6.04104207*(0.3)</f>
        <v>1.812312621</v>
      </c>
      <c r="D1423">
        <f>2.01368069*(0.3)</f>
        <v>0.604104207</v>
      </c>
      <c r="E1423">
        <f>2.01368069*(0.3)</f>
        <v>0.604104207</v>
      </c>
      <c r="F1423">
        <f>2.01368069*(0.3)</f>
        <v>0.604104207</v>
      </c>
      <c r="G1423">
        <f>1.208208414*(0.3)</f>
        <v>0.36246252419999997</v>
      </c>
      <c r="H1423">
        <f>2.01368069*(0.3)</f>
        <v>0.604104207</v>
      </c>
      <c r="I1423">
        <f>2.01368069*(0.3)</f>
        <v>0.604104207</v>
      </c>
      <c r="J1423">
        <f>-0.402736138*(0.3)</f>
        <v>-0.12082084139999999</v>
      </c>
      <c r="K1423">
        <f>2.01368069*(0.3)</f>
        <v>0.604104207</v>
      </c>
      <c r="L1423">
        <f>0.9867035381*(0.3)</f>
        <v>0.29601106143</v>
      </c>
      <c r="M1423">
        <f>2.215048759*(0.3)</f>
        <v>0.66451462770000014</v>
      </c>
      <c r="N1423">
        <f>2.01368069*(0.3)</f>
        <v>0.604104207</v>
      </c>
    </row>
    <row r="1424" spans="1:14" x14ac:dyDescent="0.25">
      <c r="A1424">
        <f>-1.15894432*(0.3)</f>
        <v>-0.34768329599999998</v>
      </c>
      <c r="B1424">
        <f>0.0891495630769231*(0.3)</f>
        <v>2.6744868923076922E-2</v>
      </c>
      <c r="C1424">
        <f>0.267448689230769*(0.3)</f>
        <v>8.0234606769230776E-2</v>
      </c>
      <c r="D1424">
        <f>0.0891495630769231*(0.3)</f>
        <v>2.6744868923076922E-2</v>
      </c>
      <c r="E1424">
        <f>0.0891495630769231*(0.3)</f>
        <v>2.6744868923076922E-2</v>
      </c>
      <c r="F1424">
        <f>0.0891495630769231*(0.3)</f>
        <v>2.6744868923076922E-2</v>
      </c>
      <c r="G1424">
        <f>0.0534897378461538*(0.3)</f>
        <v>1.6046921353846152E-2</v>
      </c>
      <c r="H1424">
        <f>0.0891495630769231*(0.3)</f>
        <v>2.6744868923076922E-2</v>
      </c>
      <c r="I1424">
        <f>0.0891495630769231*(0.3)</f>
        <v>2.6744868923076922E-2</v>
      </c>
      <c r="J1424">
        <f>-0.0178299126153846*(0.3)</f>
        <v>-5.348973784615383E-3</v>
      </c>
      <c r="K1424">
        <f>0.0891495630769231*(0.3)</f>
        <v>2.6744868923076922E-2</v>
      </c>
      <c r="L1424">
        <f>0.0436832859076923*(0.3)</f>
        <v>1.3104985772307691E-2</v>
      </c>
      <c r="M1424">
        <f>0.0980645193846154*(0.3)</f>
        <v>2.9419355815384619E-2</v>
      </c>
      <c r="N1424">
        <f>0.0891495630769231*(0.3)</f>
        <v>2.6744868923076922E-2</v>
      </c>
    </row>
    <row r="1425" spans="1:14" x14ac:dyDescent="0.25">
      <c r="A1425">
        <f>3.526908083*(0.3)</f>
        <v>1.0580724249</v>
      </c>
      <c r="B1425">
        <f>-0.271300621769231*(0.3)</f>
        <v>-8.1390186530769223E-2</v>
      </c>
      <c r="C1425">
        <f>-0.813901865307692*(0.3)</f>
        <v>-0.24417055959230766</v>
      </c>
      <c r="D1425">
        <f>-0.271300621769231*(0.3)</f>
        <v>-8.1390186530769223E-2</v>
      </c>
      <c r="E1425">
        <f>-0.271300621769231*(0.3)</f>
        <v>-8.1390186530769223E-2</v>
      </c>
      <c r="F1425">
        <f>-0.271300621769231*(0.3)</f>
        <v>-8.1390186530769223E-2</v>
      </c>
      <c r="G1425">
        <f>-0.162780373061538*(0.3)</f>
        <v>-4.8834111918461535E-2</v>
      </c>
      <c r="H1425">
        <f>-0.271300621769231*(0.3)</f>
        <v>-8.1390186530769223E-2</v>
      </c>
      <c r="I1425">
        <f>-0.271300621769231*(0.3)</f>
        <v>-8.1390186530769223E-2</v>
      </c>
      <c r="J1425">
        <f>0.0542601243538461*(0.3)</f>
        <v>1.6278037306153841E-2</v>
      </c>
      <c r="K1425">
        <f>-0.271300621769231*(0.3)</f>
        <v>-8.1390186530769223E-2</v>
      </c>
      <c r="L1425">
        <f>-0.132937304666923*(0.3)</f>
        <v>-3.9881191400076919E-2</v>
      </c>
      <c r="M1425">
        <f>-0.298430683946154*(0.3)</f>
        <v>-8.9529205183846147E-2</v>
      </c>
      <c r="N1425">
        <f>-0.271300621769231*(0.3)</f>
        <v>-8.1390186530769223E-2</v>
      </c>
    </row>
    <row r="1426" spans="1:14" x14ac:dyDescent="0.25">
      <c r="A1426">
        <f>-0.503347256*(0.3)</f>
        <v>-0.15100417679999997</v>
      </c>
      <c r="B1426">
        <f>0.0387190196923077*(0.3)</f>
        <v>1.1615705907692307E-2</v>
      </c>
      <c r="C1426">
        <f>0.116157059076923*(0.3)</f>
        <v>3.4847117723076922E-2</v>
      </c>
      <c r="D1426">
        <f>0.0387190196923077*(0.3)</f>
        <v>1.1615705907692307E-2</v>
      </c>
      <c r="E1426">
        <f>0.0387190196923077*(0.3)</f>
        <v>1.1615705907692307E-2</v>
      </c>
      <c r="F1426">
        <f>0.0387190196923077*(0.3)</f>
        <v>1.1615705907692307E-2</v>
      </c>
      <c r="G1426">
        <f>0.0232314118153846*(0.3)</f>
        <v>6.9694235446153838E-3</v>
      </c>
      <c r="H1426">
        <f>0.0387190196923077*(0.3)</f>
        <v>1.1615705907692307E-2</v>
      </c>
      <c r="I1426">
        <f>0.0387190196923077*(0.3)</f>
        <v>1.1615705907692307E-2</v>
      </c>
      <c r="J1426">
        <f>-0.00774380393846154*(0.3)</f>
        <v>-2.3231411815384608E-3</v>
      </c>
      <c r="K1426">
        <f>0.0387190196923077*(0.3)</f>
        <v>1.1615705907692307E-2</v>
      </c>
      <c r="L1426">
        <f>0.0189723196492308*(0.3)</f>
        <v>5.6916958947692302E-3</v>
      </c>
      <c r="M1426">
        <f>0.0425909216615385*(0.3)</f>
        <v>1.2777276498461538E-2</v>
      </c>
      <c r="N1426">
        <f>0.0387190196923077*(0.3)</f>
        <v>1.1615705907692307E-2</v>
      </c>
    </row>
    <row r="1427" spans="1:14" x14ac:dyDescent="0.25">
      <c r="A1427">
        <f>0.647454739*(0.3)</f>
        <v>0.19423642169999997</v>
      </c>
      <c r="B1427">
        <f>-0.0498042106923077*(0.3)</f>
        <v>-1.4941263207692304E-2</v>
      </c>
      <c r="C1427">
        <f>-0.149412632076923*(0.3)</f>
        <v>-4.4823789623076919E-2</v>
      </c>
      <c r="D1427">
        <f>-0.0498042106923077*(0.3)</f>
        <v>-1.4941263207692304E-2</v>
      </c>
      <c r="E1427">
        <f>-0.0498042106923077*(0.3)</f>
        <v>-1.4941263207692304E-2</v>
      </c>
      <c r="F1427">
        <f>-0.0498042106923077*(0.3)</f>
        <v>-1.4941263207692304E-2</v>
      </c>
      <c r="G1427">
        <f>-0.0298825264153846*(0.3)</f>
        <v>-8.9647579246153828E-3</v>
      </c>
      <c r="H1427">
        <f>-0.0498042106923077*(0.3)</f>
        <v>-1.4941263207692304E-2</v>
      </c>
      <c r="I1427">
        <f>-0.0498042106923077*(0.3)</f>
        <v>-1.4941263207692304E-2</v>
      </c>
      <c r="J1427">
        <f>0.00996084213846153*(0.3)</f>
        <v>2.9882526415384602E-3</v>
      </c>
      <c r="K1427">
        <f>-0.0498042106923077*(0.3)</f>
        <v>-1.4941263207692304E-2</v>
      </c>
      <c r="L1427">
        <f>-0.0244040632392308*(0.3)</f>
        <v>-7.3212189717692285E-3</v>
      </c>
      <c r="M1427">
        <f>-0.0547846317615385*(0.3)</f>
        <v>-1.6435389528461537E-2</v>
      </c>
      <c r="N1427">
        <f>-0.0498042106923077*(0.3)</f>
        <v>-1.4941263207692304E-2</v>
      </c>
    </row>
    <row r="1428" spans="1:14" x14ac:dyDescent="0.25">
      <c r="A1428">
        <f>0.788543854*(0.3)</f>
        <v>0.23656315620000001</v>
      </c>
      <c r="B1428">
        <f>-0.0606572195384615*(0.3)</f>
        <v>-1.8197165861538463E-2</v>
      </c>
      <c r="C1428">
        <f>-0.181971658615385*(0.3)</f>
        <v>-5.4591497584615394E-2</v>
      </c>
      <c r="D1428">
        <f>-0.0606572195384615*(0.3)</f>
        <v>-1.8197165861538463E-2</v>
      </c>
      <c r="E1428">
        <f>-0.0606572195384615*(0.3)</f>
        <v>-1.8197165861538463E-2</v>
      </c>
      <c r="F1428">
        <f>-0.0606572195384615*(0.3)</f>
        <v>-1.8197165861538463E-2</v>
      </c>
      <c r="G1428">
        <f>-0.0363943317230769*(0.3)</f>
        <v>-1.0918299516923078E-2</v>
      </c>
      <c r="H1428">
        <f>-0.0606572195384615*(0.3)</f>
        <v>-1.8197165861538463E-2</v>
      </c>
      <c r="I1428">
        <f>-0.0606572195384615*(0.3)</f>
        <v>-1.8197165861538463E-2</v>
      </c>
      <c r="J1428">
        <f>0.0121314439076923*(0.3)</f>
        <v>3.6394331723076916E-3</v>
      </c>
      <c r="K1428">
        <f>-0.0606572195384615*(0.3)</f>
        <v>-1.8197165861538463E-2</v>
      </c>
      <c r="L1428">
        <f>-0.0297220375738462*(0.3)</f>
        <v>-8.9166112721538477E-3</v>
      </c>
      <c r="M1428">
        <f>-0.0667229414923077*(0.3)</f>
        <v>-2.001688244769231E-2</v>
      </c>
      <c r="N1428">
        <f>-0.0606572195384615*(0.3)</f>
        <v>-1.8197165861538463E-2</v>
      </c>
    </row>
    <row r="1429" spans="1:14" x14ac:dyDescent="0.25">
      <c r="A1429">
        <f>-0.846442749*(0.3)</f>
        <v>-0.2539328247</v>
      </c>
      <c r="B1429">
        <f>0.0651109806923077*(0.3)</f>
        <v>1.9533294207692307E-2</v>
      </c>
      <c r="C1429">
        <f>0.195332942076923*(0.3)</f>
        <v>5.8599882623076922E-2</v>
      </c>
      <c r="D1429">
        <f>0.0651109806923077*(0.3)</f>
        <v>1.9533294207692307E-2</v>
      </c>
      <c r="E1429">
        <f>0.0651109806923077*(0.3)</f>
        <v>1.9533294207692307E-2</v>
      </c>
      <c r="F1429">
        <f>0.0651109806923077*(0.3)</f>
        <v>1.9533294207692307E-2</v>
      </c>
      <c r="G1429">
        <f>0.0390665884153846*(0.3)</f>
        <v>1.1719976524615384E-2</v>
      </c>
      <c r="H1429">
        <f>0.0651109806923077*(0.3)</f>
        <v>1.9533294207692307E-2</v>
      </c>
      <c r="I1429">
        <f>0.0651109806923077*(0.3)</f>
        <v>1.9533294207692307E-2</v>
      </c>
      <c r="J1429">
        <f>-0.0130221961384615*(0.3)</f>
        <v>-3.9066588415384608E-3</v>
      </c>
      <c r="K1429">
        <f>0.0651109806923077*(0.3)</f>
        <v>1.9533294207692307E-2</v>
      </c>
      <c r="L1429">
        <f>0.0319043805392308*(0.3)</f>
        <v>9.5713141617692291E-3</v>
      </c>
      <c r="M1429">
        <f>0.0716220787615385*(0.3)</f>
        <v>2.1486623628461543E-2</v>
      </c>
      <c r="N1429">
        <f>0.0651109806923077*(0.3)</f>
        <v>1.9533294207692307E-2</v>
      </c>
    </row>
    <row r="1430" spans="1:14" x14ac:dyDescent="0.25">
      <c r="A1430">
        <f>1.478845256*(0.3)</f>
        <v>0.4436535768</v>
      </c>
      <c r="B1430">
        <f>-0.113757327384615*(0.3)</f>
        <v>-3.4127198215384617E-2</v>
      </c>
      <c r="C1430">
        <f>-0.341271982153846*(0.3)</f>
        <v>-0.10238159464615383</v>
      </c>
      <c r="D1430">
        <f>-0.113757327384615*(0.3)</f>
        <v>-3.4127198215384617E-2</v>
      </c>
      <c r="E1430">
        <f>-0.113757327384615*(0.3)</f>
        <v>-3.4127198215384617E-2</v>
      </c>
      <c r="F1430">
        <f>-0.113757327384615*(0.3)</f>
        <v>-3.4127198215384617E-2</v>
      </c>
      <c r="G1430">
        <f>-0.0682543964307692*(0.3)</f>
        <v>-2.0476318929230769E-2</v>
      </c>
      <c r="H1430">
        <f>-0.113757327384615*(0.3)</f>
        <v>-3.4127198215384617E-2</v>
      </c>
      <c r="I1430">
        <f>-0.113757327384615*(0.3)</f>
        <v>-3.4127198215384617E-2</v>
      </c>
      <c r="J1430">
        <f>0.0227514654769231*(0.3)</f>
        <v>6.8254396430769216E-3</v>
      </c>
      <c r="K1430">
        <f>-0.113757327384615*(0.3)</f>
        <v>-3.4127198215384617E-2</v>
      </c>
      <c r="L1430">
        <f>-0.0557410904184615*(0.3)</f>
        <v>-1.672232712553846E-2</v>
      </c>
      <c r="M1430">
        <f>-0.125133060123077*(0.3)</f>
        <v>-3.7539918036923074E-2</v>
      </c>
      <c r="N1430">
        <f>-0.113757327384615*(0.3)</f>
        <v>-3.4127198215384617E-2</v>
      </c>
    </row>
    <row r="1431" spans="1:14" x14ac:dyDescent="0.25">
      <c r="A1431">
        <f>0.555245262*(0.3)</f>
        <v>0.16657357859999999</v>
      </c>
      <c r="B1431">
        <f>-0.042711174*(0.3)</f>
        <v>-1.2813352200000001E-2</v>
      </c>
      <c r="C1431">
        <f>-0.128133522*(0.3)</f>
        <v>-3.8440056600000001E-2</v>
      </c>
      <c r="D1431">
        <f>-0.042711174*(0.3)</f>
        <v>-1.2813352200000001E-2</v>
      </c>
      <c r="E1431">
        <f>-0.042711174*(0.3)</f>
        <v>-1.2813352200000001E-2</v>
      </c>
      <c r="F1431">
        <f>-0.042711174*(0.3)</f>
        <v>-1.2813352200000001E-2</v>
      </c>
      <c r="G1431">
        <f>-0.0256267044*(0.3)</f>
        <v>-7.6880113200000003E-3</v>
      </c>
      <c r="H1431">
        <f>-0.042711174*(0.3)</f>
        <v>-1.2813352200000001E-2</v>
      </c>
      <c r="I1431">
        <f>-0.042711174*(0.3)</f>
        <v>-1.2813352200000001E-2</v>
      </c>
      <c r="J1431">
        <f>0.0085422348*(0.3)</f>
        <v>2.5626704399999999E-3</v>
      </c>
      <c r="K1431">
        <f>-0.042711174*(0.3)</f>
        <v>-1.2813352200000001E-2</v>
      </c>
      <c r="L1431">
        <f>-0.02092847526*(0.3)</f>
        <v>-6.278542578000001E-3</v>
      </c>
      <c r="M1431">
        <f>-0.0469822914*(0.3)</f>
        <v>-1.4094687420000002E-2</v>
      </c>
      <c r="N1431">
        <f>-0.042711174*(0.3)</f>
        <v>-1.2813352200000001E-2</v>
      </c>
    </row>
    <row r="1432" spans="1:14" x14ac:dyDescent="0.25">
      <c r="A1432">
        <f>-1.026991151*(0.3)</f>
        <v>-0.30809734529999999</v>
      </c>
      <c r="B1432">
        <f>0.0789993193076923*(0.3)</f>
        <v>2.3699795792307694E-2</v>
      </c>
      <c r="C1432">
        <f>0.236997957923077*(0.3)</f>
        <v>7.1099387376923076E-2</v>
      </c>
      <c r="D1432">
        <f>0.0789993193076923*(0.3)</f>
        <v>2.3699795792307694E-2</v>
      </c>
      <c r="E1432">
        <f>0.0789993193076923*(0.3)</f>
        <v>2.3699795792307694E-2</v>
      </c>
      <c r="F1432">
        <f>0.0789993193076923*(0.3)</f>
        <v>2.3699795792307694E-2</v>
      </c>
      <c r="G1432">
        <f>0.0473995915846154*(0.3)</f>
        <v>1.4219877475384616E-2</v>
      </c>
      <c r="H1432">
        <f>0.0789993193076923*(0.3)</f>
        <v>2.3699795792307694E-2</v>
      </c>
      <c r="I1432">
        <f>0.0789993193076923*(0.3)</f>
        <v>2.3699795792307694E-2</v>
      </c>
      <c r="J1432">
        <f>-0.0157998638615385*(0.3)</f>
        <v>-4.7399591584615375E-3</v>
      </c>
      <c r="K1432">
        <f>0.0789993193076923*(0.3)</f>
        <v>2.3699795792307694E-2</v>
      </c>
      <c r="L1432">
        <f>0.0387096664607692*(0.3)</f>
        <v>1.1612899938230769E-2</v>
      </c>
      <c r="M1432">
        <f>0.0868992512384616*(0.3)</f>
        <v>2.6069775371538467E-2</v>
      </c>
      <c r="N1432">
        <f>0.0789993193076923*(0.3)</f>
        <v>2.3699795792307694E-2</v>
      </c>
    </row>
    <row r="1433" spans="1:14" x14ac:dyDescent="0.25">
      <c r="A1433">
        <f>-0.623818568*(0.3)</f>
        <v>-0.18714557039999999</v>
      </c>
      <c r="B1433">
        <f>0.0479860436923077*(0.3)</f>
        <v>1.4395813107692309E-2</v>
      </c>
      <c r="C1433">
        <f>0.143958131076923*(0.3)</f>
        <v>4.3187439323076927E-2</v>
      </c>
      <c r="D1433">
        <f>0.0479860436923077*(0.3)</f>
        <v>1.4395813107692309E-2</v>
      </c>
      <c r="E1433">
        <f>0.0479860436923077*(0.3)</f>
        <v>1.4395813107692309E-2</v>
      </c>
      <c r="F1433">
        <f>0.0479860436923077*(0.3)</f>
        <v>1.4395813107692309E-2</v>
      </c>
      <c r="G1433">
        <f>0.0287916262153846*(0.3)</f>
        <v>8.6374878646153855E-3</v>
      </c>
      <c r="H1433">
        <f>0.0479860436923077*(0.3)</f>
        <v>1.4395813107692309E-2</v>
      </c>
      <c r="I1433">
        <f>0.0479860436923077*(0.3)</f>
        <v>1.4395813107692309E-2</v>
      </c>
      <c r="J1433">
        <f>-0.00959720873846154*(0.3)</f>
        <v>-2.8791626215384611E-3</v>
      </c>
      <c r="K1433">
        <f>0.0479860436923077*(0.3)</f>
        <v>1.4395813107692309E-2</v>
      </c>
      <c r="L1433">
        <f>0.0235131614092308*(0.3)</f>
        <v>7.0539484227692311E-3</v>
      </c>
      <c r="M1433">
        <f>0.0527846480615385*(0.3)</f>
        <v>1.5835394418461542E-2</v>
      </c>
      <c r="N1433">
        <f>0.0479860436923077*(0.3)</f>
        <v>1.4395813107692309E-2</v>
      </c>
    </row>
    <row r="1434" spans="1:14" x14ac:dyDescent="0.25">
      <c r="A1434">
        <f>-0.292602199*(0.3)</f>
        <v>-8.7780659699999999E-2</v>
      </c>
      <c r="B1434">
        <f>0.0225078614615385*(0.3)</f>
        <v>6.7523584384615379E-3</v>
      </c>
      <c r="C1434">
        <f>0.0675235843846154*(0.3)</f>
        <v>2.0257075315384614E-2</v>
      </c>
      <c r="D1434">
        <f>0.0225078614615385*(0.3)</f>
        <v>6.7523584384615379E-3</v>
      </c>
      <c r="E1434">
        <f>0.0225078614615385*(0.3)</f>
        <v>6.7523584384615379E-3</v>
      </c>
      <c r="F1434">
        <f>0.0225078614615385*(0.3)</f>
        <v>6.7523584384615379E-3</v>
      </c>
      <c r="G1434">
        <f>0.0135047168769231*(0.3)</f>
        <v>4.0514150630769222E-3</v>
      </c>
      <c r="H1434">
        <f>0.0225078614615385*(0.3)</f>
        <v>6.7523584384615379E-3</v>
      </c>
      <c r="I1434">
        <f>0.0225078614615385*(0.3)</f>
        <v>6.7523584384615379E-3</v>
      </c>
      <c r="J1434">
        <f>-0.00450157229230769*(0.3)</f>
        <v>-1.3504716876923072E-3</v>
      </c>
      <c r="K1434">
        <f>0.0225078614615385*(0.3)</f>
        <v>6.7523584384615379E-3</v>
      </c>
      <c r="L1434">
        <f>0.0110288521161538*(0.3)</f>
        <v>3.3086556348461537E-3</v>
      </c>
      <c r="M1434">
        <f>0.0247586476076923*(0.3)</f>
        <v>7.427594282307692E-3</v>
      </c>
      <c r="N1434">
        <f>0.0225078614615385*(0.3)</f>
        <v>6.7523584384615379E-3</v>
      </c>
    </row>
    <row r="1435" spans="1:14" x14ac:dyDescent="0.25">
      <c r="A1435">
        <f>0.284214699*(0.3)</f>
        <v>8.5264409700000002E-2</v>
      </c>
      <c r="B1435">
        <f>-0.0218626691538462*(0.3)</f>
        <v>-6.5588007461538462E-3</v>
      </c>
      <c r="C1435">
        <f>-0.0655880074615385*(0.3)</f>
        <v>-1.9676402238461538E-2</v>
      </c>
      <c r="D1435">
        <f>-0.0218626691538462*(0.3)</f>
        <v>-6.5588007461538462E-3</v>
      </c>
      <c r="E1435">
        <f>-0.0218626691538462*(0.3)</f>
        <v>-6.5588007461538462E-3</v>
      </c>
      <c r="F1435">
        <f>-0.0218626691538462*(0.3)</f>
        <v>-6.5588007461538462E-3</v>
      </c>
      <c r="G1435">
        <f>-0.0131176014923077*(0.3)</f>
        <v>-3.9352804476923079E-3</v>
      </c>
      <c r="H1435">
        <f>-0.0218626691538462*(0.3)</f>
        <v>-6.5588007461538462E-3</v>
      </c>
      <c r="I1435">
        <f>-0.0218626691538462*(0.3)</f>
        <v>-6.5588007461538462E-3</v>
      </c>
      <c r="J1435">
        <f>0.00437253383076923*(0.3)</f>
        <v>1.3117601492307689E-3</v>
      </c>
      <c r="K1435">
        <f>-0.0218626691538462*(0.3)</f>
        <v>-6.5588007461538462E-3</v>
      </c>
      <c r="L1435">
        <f>-0.0107127078853846*(0.3)</f>
        <v>-3.2138123656153847E-3</v>
      </c>
      <c r="M1435">
        <f>-0.0240489360692308*(0.3)</f>
        <v>-7.2146808207692315E-3</v>
      </c>
      <c r="N1435">
        <f>-0.0218626691538462*(0.3)</f>
        <v>-6.5588007461538462E-3</v>
      </c>
    </row>
    <row r="1436" spans="1:14" x14ac:dyDescent="0.25">
      <c r="A1436">
        <f>2.438110092*(0.3)</f>
        <v>0.73143302759999995</v>
      </c>
      <c r="B1436">
        <f>-0.187546930153846*(0.3)</f>
        <v>-5.6264079046153846E-2</v>
      </c>
      <c r="C1436">
        <f>-0.562640790461538*(0.3)</f>
        <v>-0.16879223713846153</v>
      </c>
      <c r="D1436">
        <f>-0.187546930153846*(0.3)</f>
        <v>-5.6264079046153846E-2</v>
      </c>
      <c r="E1436">
        <f>-0.187546930153846*(0.3)</f>
        <v>-5.6264079046153846E-2</v>
      </c>
      <c r="F1436">
        <f>-0.187546930153846*(0.3)</f>
        <v>-5.6264079046153846E-2</v>
      </c>
      <c r="G1436">
        <f>-0.112528158092308*(0.3)</f>
        <v>-3.3758447427692309E-2</v>
      </c>
      <c r="H1436">
        <f>-0.187546930153846*(0.3)</f>
        <v>-5.6264079046153846E-2</v>
      </c>
      <c r="I1436">
        <f>-0.187546930153846*(0.3)</f>
        <v>-5.6264079046153846E-2</v>
      </c>
      <c r="J1436">
        <f>0.0375093860307692*(0.3)</f>
        <v>1.1252815809230767E-2</v>
      </c>
      <c r="K1436">
        <f>-0.187546930153846*(0.3)</f>
        <v>-5.6264079046153846E-2</v>
      </c>
      <c r="L1436">
        <f>-0.0918979957753846*(0.3)</f>
        <v>-2.7569398732615383E-2</v>
      </c>
      <c r="M1436">
        <f>-0.206301623169231*(0.3)</f>
        <v>-6.1890486950769236E-2</v>
      </c>
      <c r="N1436">
        <f>-0.187546930153846*(0.3)</f>
        <v>-5.6264079046153846E-2</v>
      </c>
    </row>
    <row r="1437" spans="1:14" x14ac:dyDescent="0.25">
      <c r="A1437">
        <f>-0.017149678*(0.3)</f>
        <v>-5.1449034000000003E-3</v>
      </c>
      <c r="B1437">
        <f>0.001319206*(0.3)</f>
        <v>3.9576180000000001E-4</v>
      </c>
      <c r="C1437">
        <f>0.003957618*(0.3)</f>
        <v>1.1872854000000001E-3</v>
      </c>
      <c r="D1437">
        <f>0.001319206*(0.3)</f>
        <v>3.9576180000000001E-4</v>
      </c>
      <c r="E1437">
        <f>0.001319206*(0.3)</f>
        <v>3.9576180000000001E-4</v>
      </c>
      <c r="F1437">
        <f>0.001319206*(0.3)</f>
        <v>3.9576180000000001E-4</v>
      </c>
      <c r="G1437">
        <f>0.0007915236*(0.3)</f>
        <v>2.3745708000000001E-4</v>
      </c>
      <c r="H1437">
        <f>0.001319206*(0.3)</f>
        <v>3.9576180000000001E-4</v>
      </c>
      <c r="I1437">
        <f>0.001319206*(0.3)</f>
        <v>3.9576180000000001E-4</v>
      </c>
      <c r="J1437">
        <f>-0.0002638412*(0.3)</f>
        <v>-7.9152359999999988E-5</v>
      </c>
      <c r="K1437">
        <f>0.001319206*(0.3)</f>
        <v>3.9576180000000001E-4</v>
      </c>
      <c r="L1437">
        <f>0.00064641094*(0.3)</f>
        <v>1.9392328199999999E-4</v>
      </c>
      <c r="M1437">
        <f>0.0014511266*(0.3)</f>
        <v>4.3533798000000009E-4</v>
      </c>
      <c r="N1437">
        <f>0.001319206*(0.3)</f>
        <v>3.9576180000000001E-4</v>
      </c>
    </row>
    <row r="1438" spans="1:14" x14ac:dyDescent="0.25">
      <c r="A1438">
        <f>3.04545235*(0.3)</f>
        <v>0.91363570500000002</v>
      </c>
      <c r="B1438">
        <f>-0.234265565384615*(0.3)</f>
        <v>-7.0279669615384621E-2</v>
      </c>
      <c r="C1438">
        <f>-0.702796696153846*(0.3)</f>
        <v>-0.21083900884615386</v>
      </c>
      <c r="D1438">
        <f>-0.234265565384615*(0.3)</f>
        <v>-7.0279669615384621E-2</v>
      </c>
      <c r="E1438">
        <f>-0.234265565384615*(0.3)</f>
        <v>-7.0279669615384621E-2</v>
      </c>
      <c r="F1438">
        <f>-0.234265565384615*(0.3)</f>
        <v>-7.0279669615384621E-2</v>
      </c>
      <c r="G1438">
        <f>-0.140559339230769*(0.3)</f>
        <v>-4.2167801769230774E-2</v>
      </c>
      <c r="H1438">
        <f>-0.234265565384615*(0.3)</f>
        <v>-7.0279669615384621E-2</v>
      </c>
      <c r="I1438">
        <f>-0.234265565384615*(0.3)</f>
        <v>-7.0279669615384621E-2</v>
      </c>
      <c r="J1438">
        <f>0.0468531130769231*(0.3)</f>
        <v>1.4055933923076922E-2</v>
      </c>
      <c r="K1438">
        <f>-0.234265565384615*(0.3)</f>
        <v>-7.0279669615384621E-2</v>
      </c>
      <c r="L1438">
        <f>-0.114790127038462*(0.3)</f>
        <v>-3.4437038111538462E-2</v>
      </c>
      <c r="M1438">
        <f>-0.257692121923077*(0.3)</f>
        <v>-7.7307636576923078E-2</v>
      </c>
      <c r="N1438">
        <f>-0.234265565384615*(0.3)</f>
        <v>-7.0279669615384621E-2</v>
      </c>
    </row>
    <row r="1439" spans="1:14" x14ac:dyDescent="0.25">
      <c r="A1439">
        <f>2.086952898*(0.3)</f>
        <v>0.62608586939999988</v>
      </c>
      <c r="B1439">
        <f>-0.160534838307692*(0.3)</f>
        <v>-4.8160451492307688E-2</v>
      </c>
      <c r="C1439">
        <f>-0.481604514923077*(0.3)</f>
        <v>-0.14448135447692306</v>
      </c>
      <c r="D1439">
        <f>-0.160534838307692*(0.3)</f>
        <v>-4.8160451492307688E-2</v>
      </c>
      <c r="E1439">
        <f>-0.160534838307692*(0.3)</f>
        <v>-4.8160451492307688E-2</v>
      </c>
      <c r="F1439">
        <f>-0.160534838307692*(0.3)</f>
        <v>-4.8160451492307688E-2</v>
      </c>
      <c r="G1439">
        <f>-0.0963209029846154*(0.3)</f>
        <v>-2.8896270895384612E-2</v>
      </c>
      <c r="H1439">
        <f>-0.160534838307692*(0.3)</f>
        <v>-4.8160451492307688E-2</v>
      </c>
      <c r="I1439">
        <f>-0.160534838307692*(0.3)</f>
        <v>-4.8160451492307688E-2</v>
      </c>
      <c r="J1439">
        <f>0.0321069676615385*(0.3)</f>
        <v>9.6320902984615361E-3</v>
      </c>
      <c r="K1439">
        <f>-0.160534838307692*(0.3)</f>
        <v>-4.8160451492307688E-2</v>
      </c>
      <c r="L1439">
        <f>-0.0786620707707692*(0.3)</f>
        <v>-2.3598621231230767E-2</v>
      </c>
      <c r="M1439">
        <f>-0.176588322138462*(0.3)</f>
        <v>-5.2976496641538459E-2</v>
      </c>
      <c r="N1439">
        <f>-0.160534838307692*(0.3)</f>
        <v>-4.8160451492307688E-2</v>
      </c>
    </row>
    <row r="1440" spans="1:14" x14ac:dyDescent="0.25">
      <c r="A1440">
        <f>-0.933649537*(0.3)</f>
        <v>-0.28009486109999998</v>
      </c>
      <c r="B1440">
        <f>0.0718191951538461*(0.3)</f>
        <v>2.1545758546153843E-2</v>
      </c>
      <c r="C1440">
        <f>0.215457585461538*(0.3)</f>
        <v>6.4637275638461528E-2</v>
      </c>
      <c r="D1440">
        <f>0.0718191951538461*(0.3)</f>
        <v>2.1545758546153843E-2</v>
      </c>
      <c r="E1440">
        <f>0.0718191951538461*(0.3)</f>
        <v>2.1545758546153843E-2</v>
      </c>
      <c r="F1440">
        <f>0.0718191951538461*(0.3)</f>
        <v>2.1545758546153843E-2</v>
      </c>
      <c r="G1440">
        <f>0.0430915170923077*(0.3)</f>
        <v>1.2927455127692306E-2</v>
      </c>
      <c r="H1440">
        <f>0.0718191951538461*(0.3)</f>
        <v>2.1545758546153843E-2</v>
      </c>
      <c r="I1440">
        <f>0.0718191951538461*(0.3)</f>
        <v>2.1545758546153843E-2</v>
      </c>
      <c r="J1440">
        <f>-0.0143638390307692*(0.3)</f>
        <v>-4.3091517092307676E-3</v>
      </c>
      <c r="K1440">
        <f>0.0718191951538461*(0.3)</f>
        <v>2.1545758546153843E-2</v>
      </c>
      <c r="L1440">
        <f>0.0351914056253846*(0.3)</f>
        <v>1.0557421687615384E-2</v>
      </c>
      <c r="M1440">
        <f>0.0790011146692308*(0.3)</f>
        <v>2.370033440076923E-2</v>
      </c>
      <c r="N1440">
        <f>0.0718191951538461*(0.3)</f>
        <v>2.1545758546153843E-2</v>
      </c>
    </row>
    <row r="1441" spans="1:14" x14ac:dyDescent="0.25">
      <c r="A1441">
        <f>-12.30456814*(0.3)</f>
        <v>-3.6913704420000002</v>
      </c>
      <c r="B1441">
        <f>0.946505241538462*(0.3)</f>
        <v>0.28395157246153846</v>
      </c>
      <c r="C1441">
        <f>2.83951572461539*(0.3)</f>
        <v>0.85185471738461549</v>
      </c>
      <c r="D1441">
        <f>0.946505241538462*(0.3)</f>
        <v>0.28395157246153846</v>
      </c>
      <c r="E1441">
        <f>0.946505241538462*(0.3)</f>
        <v>0.28395157246153846</v>
      </c>
      <c r="F1441">
        <f>0.946505241538462*(0.3)</f>
        <v>0.28395157246153846</v>
      </c>
      <c r="G1441">
        <f>0.567903144923077*(0.3)</f>
        <v>0.17037094347692308</v>
      </c>
      <c r="H1441">
        <f>0.946505241538462*(0.3)</f>
        <v>0.28395157246153846</v>
      </c>
      <c r="I1441">
        <f>0.946505241538462*(0.3)</f>
        <v>0.28395157246153846</v>
      </c>
      <c r="J1441">
        <f>-0.189301048307692*(0.3)</f>
        <v>-5.6790314492307682E-2</v>
      </c>
      <c r="K1441">
        <f>0.946505241538462*(0.3)</f>
        <v>0.28395157246153846</v>
      </c>
      <c r="L1441">
        <f>0.463787568353846*(0.3)</f>
        <v>0.13913627050615385</v>
      </c>
      <c r="M1441">
        <f>1.04115576569231*(0.3)</f>
        <v>0.31234672970769234</v>
      </c>
      <c r="N1441">
        <f>0.946505241538462*(0.3)</f>
        <v>0.28395157246153846</v>
      </c>
    </row>
    <row r="1442" spans="1:14" x14ac:dyDescent="0.25">
      <c r="A1442">
        <f>-2.947163575*(0.3)</f>
        <v>-0.88414907249999997</v>
      </c>
      <c r="B1442">
        <f>0.226704890384615*(0.3)</f>
        <v>6.8011467115384611E-2</v>
      </c>
      <c r="C1442">
        <f>0.680114671153846*(0.3)</f>
        <v>0.2040344013461538</v>
      </c>
      <c r="D1442">
        <f>0.226704890384615*(0.3)</f>
        <v>6.8011467115384611E-2</v>
      </c>
      <c r="E1442">
        <f>0.226704890384615*(0.3)</f>
        <v>6.8011467115384611E-2</v>
      </c>
      <c r="F1442">
        <f>0.226704890384615*(0.3)</f>
        <v>6.8011467115384611E-2</v>
      </c>
      <c r="G1442">
        <f>0.136022934230769*(0.3)</f>
        <v>4.0806880269230766E-2</v>
      </c>
      <c r="H1442">
        <f>0.226704890384615*(0.3)</f>
        <v>6.8011467115384611E-2</v>
      </c>
      <c r="I1442">
        <f>0.226704890384615*(0.3)</f>
        <v>6.8011467115384611E-2</v>
      </c>
      <c r="J1442">
        <f>-0.0453409780769231*(0.3)</f>
        <v>-1.3602293423076919E-2</v>
      </c>
      <c r="K1442">
        <f>0.226704890384615*(0.3)</f>
        <v>6.8011467115384611E-2</v>
      </c>
      <c r="L1442">
        <f>0.111085396288462*(0.3)</f>
        <v>3.3325618886538455E-2</v>
      </c>
      <c r="M1442">
        <f>0.249375379423077*(0.3)</f>
        <v>7.4812613826923072E-2</v>
      </c>
      <c r="N1442">
        <f>0.226704890384615*(0.3)</f>
        <v>6.8011467115384611E-2</v>
      </c>
    </row>
    <row r="1443" spans="1:14" x14ac:dyDescent="0.25">
      <c r="A1443">
        <f>-24.19814944*(0.3)</f>
        <v>-7.2594448319999998</v>
      </c>
      <c r="B1443">
        <f>1.86139611076923*(0.3)</f>
        <v>0.55841883323076924</v>
      </c>
      <c r="C1443">
        <f>5.58418833230769*(0.3)</f>
        <v>1.6752564996923078</v>
      </c>
      <c r="D1443">
        <f>1.86139611076923*(0.3)</f>
        <v>0.55841883323076924</v>
      </c>
      <c r="E1443">
        <f>1.86139611076923*(0.3)</f>
        <v>0.55841883323076924</v>
      </c>
      <c r="F1443">
        <f>1.86139611076923*(0.3)</f>
        <v>0.55841883323076924</v>
      </c>
      <c r="G1443">
        <f>1.11683766646154*(0.3)</f>
        <v>0.33505129993846156</v>
      </c>
      <c r="H1443">
        <f>1.86139611076923*(0.3)</f>
        <v>0.55841883323076924</v>
      </c>
      <c r="I1443">
        <f>1.86139611076923*(0.3)</f>
        <v>0.55841883323076924</v>
      </c>
      <c r="J1443">
        <f>-0.372279222153846*(0.3)</f>
        <v>-0.11168376664615383</v>
      </c>
      <c r="K1443">
        <f>1.86139611076923*(0.3)</f>
        <v>0.55841883323076924</v>
      </c>
      <c r="L1443">
        <f>0.912084094276923*(0.3)</f>
        <v>0.27362522828307695</v>
      </c>
      <c r="M1443">
        <f>2.04753572184615*(0.3)</f>
        <v>0.61426071655384629</v>
      </c>
      <c r="N1443">
        <f>1.86139611076923*(0.3)</f>
        <v>0.55841883323076924</v>
      </c>
    </row>
    <row r="1444" spans="1:14" x14ac:dyDescent="0.25">
      <c r="A1444">
        <f>-3.006071881*(0.3)</f>
        <v>-0.90182156429999993</v>
      </c>
      <c r="B1444">
        <f>0.231236298538462*(0.3)</f>
        <v>6.937088956153846E-2</v>
      </c>
      <c r="C1444">
        <f>0.693708895615385*(0.3)</f>
        <v>0.20811266868461539</v>
      </c>
      <c r="D1444">
        <f>0.231236298538462*(0.3)</f>
        <v>6.937088956153846E-2</v>
      </c>
      <c r="E1444">
        <f>0.231236298538462*(0.3)</f>
        <v>6.937088956153846E-2</v>
      </c>
      <c r="F1444">
        <f>0.231236298538462*(0.3)</f>
        <v>6.937088956153846E-2</v>
      </c>
      <c r="G1444">
        <f>0.138741779123077*(0.3)</f>
        <v>4.1622533736923074E-2</v>
      </c>
      <c r="H1444">
        <f>0.231236298538462*(0.3)</f>
        <v>6.937088956153846E-2</v>
      </c>
      <c r="I1444">
        <f>0.231236298538462*(0.3)</f>
        <v>6.937088956153846E-2</v>
      </c>
      <c r="J1444">
        <f>-0.0462472597076923*(0.3)</f>
        <v>-1.3874177912307689E-2</v>
      </c>
      <c r="K1444">
        <f>0.231236298538462*(0.3)</f>
        <v>6.937088956153846E-2</v>
      </c>
      <c r="L1444">
        <f>0.113305786283846*(0.3)</f>
        <v>3.3991735885153841E-2</v>
      </c>
      <c r="M1444">
        <f>0.254359928392308*(0.3)</f>
        <v>7.6307978517692304E-2</v>
      </c>
      <c r="N1444">
        <f>0.231236298538462*(0.3)</f>
        <v>6.937088956153846E-2</v>
      </c>
    </row>
    <row r="1445" spans="1:14" x14ac:dyDescent="0.25">
      <c r="A1445">
        <f>-33.51544755*(0.3)</f>
        <v>-10.054634264999999</v>
      </c>
      <c r="B1445">
        <f>2.57811135*(0.3)</f>
        <v>0.77343340499999991</v>
      </c>
      <c r="C1445">
        <f>7.73433405*(0.3)</f>
        <v>2.3203002149999996</v>
      </c>
      <c r="D1445">
        <f>2.57811135*(0.3)</f>
        <v>0.77343340499999991</v>
      </c>
      <c r="E1445">
        <f>2.57811135*(0.3)</f>
        <v>0.77343340499999991</v>
      </c>
      <c r="F1445">
        <f>2.57811135*(0.3)</f>
        <v>0.77343340499999991</v>
      </c>
      <c r="G1445">
        <f>1.54686681*(0.3)</f>
        <v>0.46406004299999992</v>
      </c>
      <c r="H1445">
        <f>2.57811135*(0.3)</f>
        <v>0.77343340499999991</v>
      </c>
      <c r="I1445">
        <f>2.57811135*(0.3)</f>
        <v>0.77343340499999991</v>
      </c>
      <c r="J1445">
        <f>-0.51562227*(0.3)</f>
        <v>-0.15468668099999994</v>
      </c>
      <c r="K1445">
        <f>2.57811135*(0.3)</f>
        <v>0.77343340499999991</v>
      </c>
      <c r="L1445">
        <f>1.2632745615*(0.3)</f>
        <v>0.37898236844999994</v>
      </c>
      <c r="M1445">
        <f>2.835922485*(0.3)</f>
        <v>0.85077674550000004</v>
      </c>
      <c r="N1445">
        <f>2.57811135*(0.3)</f>
        <v>0.77343340499999991</v>
      </c>
    </row>
    <row r="1446" spans="1:14" x14ac:dyDescent="0.25">
      <c r="A1446">
        <f>-0.252764479*(0.3)</f>
        <v>-7.5829343699999996E-2</v>
      </c>
      <c r="B1446">
        <f>0.0194434214615385*(0.3)</f>
        <v>5.8330264384615377E-3</v>
      </c>
      <c r="C1446">
        <f>0.0583302643846154*(0.3)</f>
        <v>1.7499079315384612E-2</v>
      </c>
      <c r="D1446">
        <f>0.0194434214615385*(0.3)</f>
        <v>5.8330264384615377E-3</v>
      </c>
      <c r="E1446">
        <f>0.0194434214615385*(0.3)</f>
        <v>5.8330264384615377E-3</v>
      </c>
      <c r="F1446">
        <f>0.0194434214615385*(0.3)</f>
        <v>5.8330264384615377E-3</v>
      </c>
      <c r="G1446">
        <f>0.0116660528769231*(0.3)</f>
        <v>3.4998158630769227E-3</v>
      </c>
      <c r="H1446">
        <f>0.0194434214615385*(0.3)</f>
        <v>5.8330264384615377E-3</v>
      </c>
      <c r="I1446">
        <f>0.0194434214615385*(0.3)</f>
        <v>5.8330264384615377E-3</v>
      </c>
      <c r="J1446">
        <f>-0.00388868429230769*(0.3)</f>
        <v>-1.1666052876923073E-3</v>
      </c>
      <c r="K1446">
        <f>0.0194434214615385*(0.3)</f>
        <v>5.8330264384615377E-3</v>
      </c>
      <c r="L1446">
        <f>0.00952727651615384*(0.3)</f>
        <v>2.8581829548461534E-3</v>
      </c>
      <c r="M1446">
        <f>0.0213877636076923*(0.3)</f>
        <v>6.416329082307692E-3</v>
      </c>
      <c r="N1446">
        <f>0.0194434214615385*(0.3)</f>
        <v>5.8330264384615377E-3</v>
      </c>
    </row>
    <row r="1447" spans="1:14" x14ac:dyDescent="0.25">
      <c r="A1447">
        <f>-44.17139413*(0.3)</f>
        <v>-13.251418239000001</v>
      </c>
      <c r="B1447">
        <f>3.39779954846154*(0.3)</f>
        <v>1.0193398645384617</v>
      </c>
      <c r="C1447">
        <f>10.1933986453846*(0.3)</f>
        <v>3.0580195936153851</v>
      </c>
      <c r="D1447">
        <f>3.39779954846154*(0.3)</f>
        <v>1.0193398645384617</v>
      </c>
      <c r="E1447">
        <f>3.39779954846154*(0.3)</f>
        <v>1.0193398645384617</v>
      </c>
      <c r="F1447">
        <f>3.39779954846154*(0.3)</f>
        <v>1.0193398645384617</v>
      </c>
      <c r="G1447">
        <f>2.03867972907692*(0.3)</f>
        <v>0.61160391872307696</v>
      </c>
      <c r="H1447">
        <f>3.39779954846154*(0.3)</f>
        <v>1.0193398645384617</v>
      </c>
      <c r="I1447">
        <f>3.39779954846154*(0.3)</f>
        <v>1.0193398645384617</v>
      </c>
      <c r="J1447">
        <f>-0.679559909692308*(0.3)</f>
        <v>-0.20386797290769229</v>
      </c>
      <c r="K1447">
        <f>3.39779954846154*(0.3)</f>
        <v>1.0193398645384617</v>
      </c>
      <c r="L1447">
        <f>1.66492177874615*(0.3)</f>
        <v>0.4994765336238462</v>
      </c>
      <c r="M1447">
        <f>3.73757950330769*(0.3)</f>
        <v>1.1212738509923079</v>
      </c>
      <c r="N1447">
        <f>3.39779954846154*(0.3)</f>
        <v>1.0193398645384617</v>
      </c>
    </row>
    <row r="1448" spans="1:14" x14ac:dyDescent="0.25">
      <c r="A1448">
        <f>-2.060755563*(0.3)</f>
        <v>-0.61822666889999989</v>
      </c>
      <c r="B1448">
        <f>0.158519658692308*(0.3)</f>
        <v>4.7555897607692306E-2</v>
      </c>
      <c r="C1448">
        <f>0.475558976076923*(0.3)</f>
        <v>0.14266769282307692</v>
      </c>
      <c r="D1448">
        <f>0.158519658692308*(0.3)</f>
        <v>4.7555897607692306E-2</v>
      </c>
      <c r="E1448">
        <f>0.158519658692308*(0.3)</f>
        <v>4.7555897607692306E-2</v>
      </c>
      <c r="F1448">
        <f>0.158519658692308*(0.3)</f>
        <v>4.7555897607692306E-2</v>
      </c>
      <c r="G1448">
        <f>0.0951117952153846*(0.3)</f>
        <v>2.8533538564615383E-2</v>
      </c>
      <c r="H1448">
        <f>0.158519658692308*(0.3)</f>
        <v>4.7555897607692306E-2</v>
      </c>
      <c r="I1448">
        <f>0.158519658692308*(0.3)</f>
        <v>4.7555897607692306E-2</v>
      </c>
      <c r="J1448">
        <f>-0.0317039317384615*(0.3)</f>
        <v>-9.5111795215384598E-3</v>
      </c>
      <c r="K1448">
        <f>0.158519658692308*(0.3)</f>
        <v>4.7555897607692306E-2</v>
      </c>
      <c r="L1448">
        <f>0.0776746327592308*(0.3)</f>
        <v>2.3302389827769231E-2</v>
      </c>
      <c r="M1448">
        <f>0.174371624561538*(0.3)</f>
        <v>5.2311487368461543E-2</v>
      </c>
      <c r="N1448">
        <f>0.158519658692308*(0.3)</f>
        <v>4.7555897607692306E-2</v>
      </c>
    </row>
    <row r="1449" spans="1:14" x14ac:dyDescent="0.25">
      <c r="A1449">
        <f>-52.68481705*(0.3)</f>
        <v>-15.805445114999999</v>
      </c>
      <c r="B1449">
        <f>4.05267823461538*(0.3)</f>
        <v>1.2158034703846152</v>
      </c>
      <c r="C1449">
        <f>12.1580347038462*(0.3)</f>
        <v>3.6474104111538455</v>
      </c>
      <c r="D1449">
        <f>4.05267823461538*(0.3)</f>
        <v>1.2158034703846152</v>
      </c>
      <c r="E1449">
        <f>4.05267823461538*(0.3)</f>
        <v>1.2158034703846152</v>
      </c>
      <c r="F1449">
        <f>4.05267823461538*(0.3)</f>
        <v>1.2158034703846152</v>
      </c>
      <c r="G1449">
        <f>2.43160694076923*(0.3)</f>
        <v>0.72948208223076916</v>
      </c>
      <c r="H1449">
        <f>4.05267823461538*(0.3)</f>
        <v>1.2158034703846152</v>
      </c>
      <c r="I1449">
        <f>4.05267823461538*(0.3)</f>
        <v>1.2158034703846152</v>
      </c>
      <c r="J1449">
        <f>-0.810535646923077*(0.3)</f>
        <v>-0.24316069407692298</v>
      </c>
      <c r="K1449">
        <f>4.05267823461538*(0.3)</f>
        <v>1.2158034703846152</v>
      </c>
      <c r="L1449">
        <f>1.98581233496154*(0.3)</f>
        <v>0.59574370048846148</v>
      </c>
      <c r="M1449">
        <f>4.45794605807692*(0.3)</f>
        <v>1.337383817423077</v>
      </c>
      <c r="N1449">
        <f>4.05267823461538*(0.3)</f>
        <v>1.2158034703846152</v>
      </c>
    </row>
    <row r="1450" spans="1:14" x14ac:dyDescent="0.25">
      <c r="A1450">
        <f>-0.963544575*(0.3)</f>
        <v>-0.28906337249999997</v>
      </c>
      <c r="B1450">
        <f>0.0741188134615385*(0.3)</f>
        <v>2.2235644038461538E-2</v>
      </c>
      <c r="C1450">
        <f>0.222356440384615*(0.3)</f>
        <v>6.6706932115384615E-2</v>
      </c>
      <c r="D1450">
        <f>0.0741188134615385*(0.3)</f>
        <v>2.2235644038461538E-2</v>
      </c>
      <c r="E1450">
        <f>0.0741188134615385*(0.3)</f>
        <v>2.2235644038461538E-2</v>
      </c>
      <c r="F1450">
        <f>0.0741188134615385*(0.3)</f>
        <v>2.2235644038461538E-2</v>
      </c>
      <c r="G1450">
        <f>0.0444712880769231*(0.3)</f>
        <v>1.3341386423076923E-2</v>
      </c>
      <c r="H1450">
        <f>0.0741188134615385*(0.3)</f>
        <v>2.2235644038461538E-2</v>
      </c>
      <c r="I1450">
        <f>0.0741188134615385*(0.3)</f>
        <v>2.2235644038461538E-2</v>
      </c>
      <c r="J1450">
        <f>-0.0148237626923077*(0.3)</f>
        <v>-4.447128807692307E-3</v>
      </c>
      <c r="K1450">
        <f>0.0741188134615385*(0.3)</f>
        <v>2.2235644038461538E-2</v>
      </c>
      <c r="L1450">
        <f>0.0363182185961538*(0.3)</f>
        <v>1.0895465578846153E-2</v>
      </c>
      <c r="M1450">
        <f>0.0815306948076923*(0.3)</f>
        <v>2.4459208442307694E-2</v>
      </c>
      <c r="N1450">
        <f>0.0741188134615385*(0.3)</f>
        <v>2.2235644038461538E-2</v>
      </c>
    </row>
    <row r="1451" spans="1:14" x14ac:dyDescent="0.25">
      <c r="A1451">
        <f>-62.38205241*(0.3)</f>
        <v>-18.714615722999998</v>
      </c>
      <c r="B1451">
        <f>4.79861941615385*(0.3)</f>
        <v>1.4395858248461537</v>
      </c>
      <c r="C1451">
        <f>14.3958582484615*(0.3)</f>
        <v>4.3187574745384616</v>
      </c>
      <c r="D1451">
        <f>4.79861941615385*(0.3)</f>
        <v>1.4395858248461537</v>
      </c>
      <c r="E1451">
        <f>4.79861941615385*(0.3)</f>
        <v>1.4395858248461537</v>
      </c>
      <c r="F1451">
        <f>4.79861941615385*(0.3)</f>
        <v>1.4395858248461537</v>
      </c>
      <c r="G1451">
        <f>2.87917164969231*(0.3)</f>
        <v>0.86375149490769221</v>
      </c>
      <c r="H1451">
        <f>4.79861941615385*(0.3)</f>
        <v>1.4395858248461537</v>
      </c>
      <c r="I1451">
        <f>4.79861941615385*(0.3)</f>
        <v>1.4395858248461537</v>
      </c>
      <c r="J1451">
        <f>-0.959723883230769*(0.3)</f>
        <v>-0.2879171649692307</v>
      </c>
      <c r="K1451">
        <f>4.79861941615385*(0.3)</f>
        <v>1.4395858248461537</v>
      </c>
      <c r="L1451">
        <f>2.35132351391538*(0.3)</f>
        <v>0.70539705417461529</v>
      </c>
      <c r="M1451">
        <f>5.27848135776923*(0.3)</f>
        <v>1.5835444073307694</v>
      </c>
      <c r="N1451">
        <f>4.79861941615385*(0.3)</f>
        <v>1.4395858248461537</v>
      </c>
    </row>
    <row r="1452" spans="1:14" x14ac:dyDescent="0.25">
      <c r="A1452">
        <f>-2.478503375*(0.3)</f>
        <v>-0.74355101249999989</v>
      </c>
      <c r="B1452">
        <f>0.190654105769231*(0.3)</f>
        <v>5.7196231730769223E-2</v>
      </c>
      <c r="C1452">
        <f>0.571962317307692*(0.3)</f>
        <v>0.17158869519230766</v>
      </c>
      <c r="D1452">
        <f>0.190654105769231*(0.3)</f>
        <v>5.7196231730769223E-2</v>
      </c>
      <c r="E1452">
        <f>0.190654105769231*(0.3)</f>
        <v>5.7196231730769223E-2</v>
      </c>
      <c r="F1452">
        <f>0.190654105769231*(0.3)</f>
        <v>5.7196231730769223E-2</v>
      </c>
      <c r="G1452">
        <f>0.114392463461538*(0.3)</f>
        <v>3.4317739038461532E-2</v>
      </c>
      <c r="H1452">
        <f>0.190654105769231*(0.3)</f>
        <v>5.7196231730769223E-2</v>
      </c>
      <c r="I1452">
        <f>0.190654105769231*(0.3)</f>
        <v>5.7196231730769223E-2</v>
      </c>
      <c r="J1452">
        <f>-0.0381308211538461*(0.3)</f>
        <v>-1.1439246346153842E-2</v>
      </c>
      <c r="K1452">
        <f>0.190654105769231*(0.3)</f>
        <v>5.7196231730769223E-2</v>
      </c>
      <c r="L1452">
        <f>0.0934205118269231*(0.3)</f>
        <v>2.8026153548076919E-2</v>
      </c>
      <c r="M1452">
        <f>0.209719516346154*(0.3)</f>
        <v>6.2915854903846158E-2</v>
      </c>
      <c r="N1452">
        <f>0.190654105769231*(0.3)</f>
        <v>5.7196231730769223E-2</v>
      </c>
    </row>
    <row r="1453" spans="1:14" x14ac:dyDescent="0.25">
      <c r="A1453">
        <f>-71.89309518*(0.3)</f>
        <v>-21.567928554000002</v>
      </c>
      <c r="B1453">
        <f>5.53023809076923*(0.3)</f>
        <v>1.6590714272307692</v>
      </c>
      <c r="C1453">
        <f>16.5907142723077*(0.3)</f>
        <v>4.9772142816923077</v>
      </c>
      <c r="D1453">
        <f>5.53023809076923*(0.3)</f>
        <v>1.6590714272307692</v>
      </c>
      <c r="E1453">
        <f>5.53023809076923*(0.3)</f>
        <v>1.6590714272307692</v>
      </c>
      <c r="F1453">
        <f>5.53023809076923*(0.3)</f>
        <v>1.6590714272307692</v>
      </c>
      <c r="G1453">
        <f>3.31814285446154*(0.3)</f>
        <v>0.99544285633846141</v>
      </c>
      <c r="H1453">
        <f>5.53023809076923*(0.3)</f>
        <v>1.6590714272307692</v>
      </c>
      <c r="I1453">
        <f>5.53023809076923*(0.3)</f>
        <v>1.6590714272307692</v>
      </c>
      <c r="J1453">
        <f>-1.10604761815385*(0.3)</f>
        <v>-0.33181428544615377</v>
      </c>
      <c r="K1453">
        <f>5.53023809076923*(0.3)</f>
        <v>1.6590714272307692</v>
      </c>
      <c r="L1453">
        <f>2.70981666447692*(0.3)</f>
        <v>0.81294499934307696</v>
      </c>
      <c r="M1453">
        <f>6.08326189984615*(0.3)</f>
        <v>1.8249785699538461</v>
      </c>
      <c r="N1453">
        <f>5.53023809076923*(0.3)</f>
        <v>1.6590714272307692</v>
      </c>
    </row>
    <row r="1454" spans="1:14" x14ac:dyDescent="0.25">
      <c r="A1454">
        <f>-0.348801233*(0.3)</f>
        <v>-0.10464036989999999</v>
      </c>
      <c r="B1454">
        <f>0.0268308640769231*(0.3)</f>
        <v>8.0492592230769228E-3</v>
      </c>
      <c r="C1454">
        <f>0.0804925922307692*(0.3)</f>
        <v>2.4147777669230767E-2</v>
      </c>
      <c r="D1454">
        <f>0.0268308640769231*(0.3)</f>
        <v>8.0492592230769228E-3</v>
      </c>
      <c r="E1454">
        <f>0.0268308640769231*(0.3)</f>
        <v>8.0492592230769228E-3</v>
      </c>
      <c r="F1454">
        <f>0.0268308640769231*(0.3)</f>
        <v>8.0492592230769228E-3</v>
      </c>
      <c r="G1454">
        <f>0.0160985184461538*(0.3)</f>
        <v>4.8295555338461532E-3</v>
      </c>
      <c r="H1454">
        <f>0.0268308640769231*(0.3)</f>
        <v>8.0492592230769228E-3</v>
      </c>
      <c r="I1454">
        <f>0.0268308640769231*(0.3)</f>
        <v>8.0492592230769228E-3</v>
      </c>
      <c r="J1454">
        <f>-0.00536617281538461*(0.3)</f>
        <v>-1.6098518446153842E-3</v>
      </c>
      <c r="K1454">
        <f>0.0268308640769231*(0.3)</f>
        <v>8.0492592230769228E-3</v>
      </c>
      <c r="L1454">
        <f>0.0131471233976923*(0.3)</f>
        <v>3.9441370193076921E-3</v>
      </c>
      <c r="M1454">
        <f>0.0295139504846154*(0.3)</f>
        <v>8.8541851453846146E-3</v>
      </c>
      <c r="N1454">
        <f>0.0268308640769231*(0.3)</f>
        <v>8.0492592230769228E-3</v>
      </c>
    </row>
    <row r="1455" spans="1:14" x14ac:dyDescent="0.25">
      <c r="A1455">
        <f>-85.18470503*(0.3)</f>
        <v>-25.555411508999999</v>
      </c>
      <c r="B1455">
        <f>6.55266961769231*(0.3)</f>
        <v>1.9658008853076923</v>
      </c>
      <c r="C1455">
        <f>19.6580088530769*(0.3)</f>
        <v>5.8974026559230763</v>
      </c>
      <c r="D1455">
        <f>6.55266961769231*(0.3)</f>
        <v>1.9658008853076923</v>
      </c>
      <c r="E1455">
        <f>6.55266961769231*(0.3)</f>
        <v>1.9658008853076923</v>
      </c>
      <c r="F1455">
        <f>6.55266961769231*(0.3)</f>
        <v>1.9658008853076923</v>
      </c>
      <c r="G1455">
        <f>3.93160177061538*(0.3)</f>
        <v>1.1794805311846153</v>
      </c>
      <c r="H1455">
        <f>6.55266961769231*(0.3)</f>
        <v>1.9658008853076923</v>
      </c>
      <c r="I1455">
        <f>6.55266961769231*(0.3)</f>
        <v>1.9658008853076923</v>
      </c>
      <c r="J1455">
        <f>-1.31053392353846*(0.3)</f>
        <v>-0.39316017706153833</v>
      </c>
      <c r="K1455">
        <f>6.55266961769231*(0.3)</f>
        <v>1.9658008853076923</v>
      </c>
      <c r="L1455">
        <f>3.21080811266923*(0.3)</f>
        <v>0.96324243380076924</v>
      </c>
      <c r="M1455">
        <f>7.20793657946154*(0.3)</f>
        <v>2.1623809738384616</v>
      </c>
      <c r="N1455">
        <f>6.55266961769231*(0.3)</f>
        <v>1.9658008853076923</v>
      </c>
    </row>
    <row r="1456" spans="1:14" x14ac:dyDescent="0.25">
      <c r="A1456">
        <f>2.018343448*(0.3)</f>
        <v>0.60550303439999997</v>
      </c>
      <c r="B1456">
        <f>-0.155257188307692*(0.3)</f>
        <v>-4.6577156492307689E-2</v>
      </c>
      <c r="C1456">
        <f>-0.465771564923077*(0.3)</f>
        <v>-0.13973146947692308</v>
      </c>
      <c r="D1456">
        <f>-0.155257188307692*(0.3)</f>
        <v>-4.6577156492307689E-2</v>
      </c>
      <c r="E1456">
        <f>-0.155257188307692*(0.3)</f>
        <v>-4.6577156492307689E-2</v>
      </c>
      <c r="F1456">
        <f>-0.155257188307692*(0.3)</f>
        <v>-4.6577156492307689E-2</v>
      </c>
      <c r="G1456">
        <f>-0.0931543129846154*(0.3)</f>
        <v>-2.7946293895384614E-2</v>
      </c>
      <c r="H1456">
        <f>-0.155257188307692*(0.3)</f>
        <v>-4.6577156492307689E-2</v>
      </c>
      <c r="I1456">
        <f>-0.155257188307692*(0.3)</f>
        <v>-4.6577156492307689E-2</v>
      </c>
      <c r="J1456">
        <f>0.0310514376615385*(0.3)</f>
        <v>9.3154312984615358E-3</v>
      </c>
      <c r="K1456">
        <f>-0.155257188307692*(0.3)</f>
        <v>-4.6577156492307689E-2</v>
      </c>
      <c r="L1456">
        <f>-0.0760760222707692*(0.3)</f>
        <v>-2.2822806681230771E-2</v>
      </c>
      <c r="M1456">
        <f>-0.170782907138462*(0.3)</f>
        <v>-5.1234872141538469E-2</v>
      </c>
      <c r="N1456">
        <f>-0.155257188307692*(0.3)</f>
        <v>-4.6577156492307689E-2</v>
      </c>
    </row>
    <row r="1457" spans="1:14" x14ac:dyDescent="0.25">
      <c r="A1457">
        <f>-3.757676599*(0.3)</f>
        <v>-1.1273029796999998</v>
      </c>
      <c r="B1457">
        <f>0.289052046076923*(0.3)</f>
        <v>8.6715613823076923E-2</v>
      </c>
      <c r="C1457">
        <f>0.867156138230769*(0.3)</f>
        <v>0.26014684146923078</v>
      </c>
      <c r="D1457">
        <f>0.289052046076923*(0.3)</f>
        <v>8.6715613823076923E-2</v>
      </c>
      <c r="E1457">
        <f>0.289052046076923*(0.3)</f>
        <v>8.6715613823076923E-2</v>
      </c>
      <c r="F1457">
        <f>0.289052046076923*(0.3)</f>
        <v>8.6715613823076923E-2</v>
      </c>
      <c r="G1457">
        <f>0.173431227646154*(0.3)</f>
        <v>5.2029368293846155E-2</v>
      </c>
      <c r="H1457">
        <f>0.289052046076923*(0.3)</f>
        <v>8.6715613823076923E-2</v>
      </c>
      <c r="I1457">
        <f>0.289052046076923*(0.3)</f>
        <v>8.6715613823076923E-2</v>
      </c>
      <c r="J1457">
        <f>-0.0578104092153846*(0.3)</f>
        <v>-1.734312276461538E-2</v>
      </c>
      <c r="K1457">
        <f>0.289052046076923*(0.3)</f>
        <v>8.6715613823076923E-2</v>
      </c>
      <c r="L1457">
        <f>0.141635502577692*(0.3)</f>
        <v>4.2490650773307694E-2</v>
      </c>
      <c r="M1457">
        <f>0.317957250684615*(0.3)</f>
        <v>9.5387175205384631E-2</v>
      </c>
      <c r="N1457">
        <f>0.289052046076923*(0.3)</f>
        <v>8.6715613823076923E-2</v>
      </c>
    </row>
    <row r="1458" spans="1:14" x14ac:dyDescent="0.25">
      <c r="A1458">
        <f>-0.477087297*(0.3)</f>
        <v>-0.1431261891</v>
      </c>
      <c r="B1458">
        <f>0.0366990228461538*(0.3)</f>
        <v>1.1009706853846153E-2</v>
      </c>
      <c r="C1458">
        <f>0.110097068538462*(0.3)</f>
        <v>3.3029120561538464E-2</v>
      </c>
      <c r="D1458">
        <f>0.0366990228461538*(0.3)</f>
        <v>1.1009706853846153E-2</v>
      </c>
      <c r="E1458">
        <f>0.0366990228461538*(0.3)</f>
        <v>1.1009706853846153E-2</v>
      </c>
      <c r="F1458">
        <f>0.0366990228461538*(0.3)</f>
        <v>1.1009706853846153E-2</v>
      </c>
      <c r="G1458">
        <f>0.0220194137076923*(0.3)</f>
        <v>6.6058241123076915E-3</v>
      </c>
      <c r="H1458">
        <f>0.0366990228461538*(0.3)</f>
        <v>1.1009706853846153E-2</v>
      </c>
      <c r="I1458">
        <f>0.0366990228461538*(0.3)</f>
        <v>1.1009706853846153E-2</v>
      </c>
      <c r="J1458">
        <f>-0.00733980456923077*(0.3)</f>
        <v>-2.2019413707692302E-3</v>
      </c>
      <c r="K1458">
        <f>0.0366990228461538*(0.3)</f>
        <v>1.1009706853846153E-2</v>
      </c>
      <c r="L1458">
        <f>0.0179825211946154*(0.3)</f>
        <v>5.3947563583846151E-3</v>
      </c>
      <c r="M1458">
        <f>0.0403689251307692*(0.3)</f>
        <v>1.211067753923077E-2</v>
      </c>
      <c r="N1458">
        <f>0.0366990228461538*(0.3)</f>
        <v>1.1009706853846153E-2</v>
      </c>
    </row>
    <row r="1459" spans="1:14" x14ac:dyDescent="0.25">
      <c r="A1459">
        <f>-5.932133118*(0.3)</f>
        <v>-1.7796399354000001</v>
      </c>
      <c r="B1459">
        <f>0.456317932153846*(0.3)</f>
        <v>0.13689537964615386</v>
      </c>
      <c r="C1459">
        <f>1.36895379646154*(0.3)</f>
        <v>0.41068613893846156</v>
      </c>
      <c r="D1459">
        <f>0.456317932153846*(0.3)</f>
        <v>0.13689537964615386</v>
      </c>
      <c r="E1459">
        <f>0.456317932153846*(0.3)</f>
        <v>0.13689537964615386</v>
      </c>
      <c r="F1459">
        <f>0.456317932153846*(0.3)</f>
        <v>0.13689537964615386</v>
      </c>
      <c r="G1459">
        <f>0.273790759292308*(0.3)</f>
        <v>8.2137227787692321E-2</v>
      </c>
      <c r="H1459">
        <f>0.456317932153846*(0.3)</f>
        <v>0.13689537964615386</v>
      </c>
      <c r="I1459">
        <f>0.456317932153846*(0.3)</f>
        <v>0.13689537964615386</v>
      </c>
      <c r="J1459">
        <f>-0.0912635864307692*(0.3)</f>
        <v>-2.7379075929230764E-2</v>
      </c>
      <c r="K1459">
        <f>0.456317932153846*(0.3)</f>
        <v>0.13689537964615386</v>
      </c>
      <c r="L1459">
        <f>0.223595786755385*(0.3)</f>
        <v>6.707873602661539E-2</v>
      </c>
      <c r="M1459">
        <f>0.501949725369231*(0.3)</f>
        <v>0.15058491761076925</v>
      </c>
      <c r="N1459">
        <f>0.456317932153846*(0.3)</f>
        <v>0.13689537964615386</v>
      </c>
    </row>
    <row r="1460" spans="1:14" x14ac:dyDescent="0.25">
      <c r="A1460">
        <f>3.8120364*(0.3)</f>
        <v>1.14361092</v>
      </c>
      <c r="B1460">
        <f>-0.293233569230769*(0.3)</f>
        <v>-8.7970070769230774E-2</v>
      </c>
      <c r="C1460">
        <f>-0.879700707692308*(0.3)</f>
        <v>-0.26391021230769235</v>
      </c>
      <c r="D1460">
        <f>-0.293233569230769*(0.3)</f>
        <v>-8.7970070769230774E-2</v>
      </c>
      <c r="E1460">
        <f>-0.293233569230769*(0.3)</f>
        <v>-8.7970070769230774E-2</v>
      </c>
      <c r="F1460">
        <f>-0.293233569230769*(0.3)</f>
        <v>-8.7970070769230774E-2</v>
      </c>
      <c r="G1460">
        <f>-0.175940141538462*(0.3)</f>
        <v>-5.2782042461538461E-2</v>
      </c>
      <c r="H1460">
        <f>-0.293233569230769*(0.3)</f>
        <v>-8.7970070769230774E-2</v>
      </c>
      <c r="I1460">
        <f>-0.293233569230769*(0.3)</f>
        <v>-8.7970070769230774E-2</v>
      </c>
      <c r="J1460">
        <f>0.0586467138461538*(0.3)</f>
        <v>1.7594014153846149E-2</v>
      </c>
      <c r="K1460">
        <f>-0.293233569230769*(0.3)</f>
        <v>-8.7970070769230774E-2</v>
      </c>
      <c r="L1460">
        <f>-0.143684448923077*(0.3)</f>
        <v>-4.3105334676923082E-2</v>
      </c>
      <c r="M1460">
        <f>-0.322556926153846*(0.3)</f>
        <v>-9.6767077846153862E-2</v>
      </c>
      <c r="N1460">
        <f>-0.293233569230769*(0.3)</f>
        <v>-8.7970070769230774E-2</v>
      </c>
    </row>
    <row r="1461" spans="1:14" x14ac:dyDescent="0.25">
      <c r="A1461">
        <f>-7.939558096*(0.3)</f>
        <v>-2.3818674287999997</v>
      </c>
      <c r="B1461">
        <f>0.610735238153846*(0.3)</f>
        <v>0.18322057144615383</v>
      </c>
      <c r="C1461">
        <f>1.83220571446154*(0.3)</f>
        <v>0.54966171433846156</v>
      </c>
      <c r="D1461">
        <f>0.610735238153846*(0.3)</f>
        <v>0.18322057144615383</v>
      </c>
      <c r="E1461">
        <f>0.610735238153846*(0.3)</f>
        <v>0.18322057144615383</v>
      </c>
      <c r="F1461">
        <f>0.610735238153846*(0.3)</f>
        <v>0.18322057144615383</v>
      </c>
      <c r="G1461">
        <f>0.366441142892308*(0.3)</f>
        <v>0.1099323428676923</v>
      </c>
      <c r="H1461">
        <f>0.610735238153846*(0.3)</f>
        <v>0.18322057144615383</v>
      </c>
      <c r="I1461">
        <f>0.610735238153846*(0.3)</f>
        <v>0.18322057144615383</v>
      </c>
      <c r="J1461">
        <f>-0.122147047630769*(0.3)</f>
        <v>-3.6644114289230756E-2</v>
      </c>
      <c r="K1461">
        <f>0.610735238153846*(0.3)</f>
        <v>0.18322057144615383</v>
      </c>
      <c r="L1461">
        <f>0.299260266695385*(0.3)</f>
        <v>8.9778080008615369E-2</v>
      </c>
      <c r="M1461">
        <f>0.671808761969231*(0.3)</f>
        <v>0.20154262859076924</v>
      </c>
      <c r="N1461">
        <f>0.610735238153846*(0.3)</f>
        <v>0.18322057144615383</v>
      </c>
    </row>
    <row r="1462" spans="1:14" x14ac:dyDescent="0.25">
      <c r="A1462">
        <f>-2.44209471*(0.3)</f>
        <v>-0.73262841300000003</v>
      </c>
      <c r="B1462">
        <f>0.187853439230769*(0.3)</f>
        <v>5.635603176923077E-2</v>
      </c>
      <c r="C1462">
        <f>0.563560317692308*(0.3)</f>
        <v>0.16906809530769232</v>
      </c>
      <c r="D1462">
        <f>0.187853439230769*(0.3)</f>
        <v>5.635603176923077E-2</v>
      </c>
      <c r="E1462">
        <f>0.187853439230769*(0.3)</f>
        <v>5.635603176923077E-2</v>
      </c>
      <c r="F1462">
        <f>0.187853439230769*(0.3)</f>
        <v>5.635603176923077E-2</v>
      </c>
      <c r="G1462">
        <f>0.112712063538462*(0.3)</f>
        <v>3.3813619061538458E-2</v>
      </c>
      <c r="H1462">
        <f>0.187853439230769*(0.3)</f>
        <v>5.635603176923077E-2</v>
      </c>
      <c r="I1462">
        <f>0.187853439230769*(0.3)</f>
        <v>5.635603176923077E-2</v>
      </c>
      <c r="J1462">
        <f>-0.0375706878461538*(0.3)</f>
        <v>-1.1271206353846151E-2</v>
      </c>
      <c r="K1462">
        <f>0.187853439230769*(0.3)</f>
        <v>5.635603176923077E-2</v>
      </c>
      <c r="L1462">
        <f>0.0920481852230769*(0.3)</f>
        <v>2.7614455566923081E-2</v>
      </c>
      <c r="M1462">
        <f>0.206638783153846*(0.3)</f>
        <v>6.1991634946153854E-2</v>
      </c>
      <c r="N1462">
        <f>0.187853439230769*(0.3)</f>
        <v>5.635603176923077E-2</v>
      </c>
    </row>
    <row r="1463" spans="1:14" x14ac:dyDescent="0.25">
      <c r="A1463">
        <f>-10.61240062*(0.3)</f>
        <v>-3.183720186</v>
      </c>
      <c r="B1463">
        <f>0.816338509230769*(0.3)</f>
        <v>0.24490155276923078</v>
      </c>
      <c r="C1463">
        <f>2.44901552769231*(0.3)</f>
        <v>0.73470465830769227</v>
      </c>
      <c r="D1463">
        <f>0.816338509230769*(0.3)</f>
        <v>0.24490155276923078</v>
      </c>
      <c r="E1463">
        <f>0.816338509230769*(0.3)</f>
        <v>0.24490155276923078</v>
      </c>
      <c r="F1463">
        <f>0.816338509230769*(0.3)</f>
        <v>0.24490155276923078</v>
      </c>
      <c r="G1463">
        <f>0.489803105538462*(0.3)</f>
        <v>0.14694093166153846</v>
      </c>
      <c r="H1463">
        <f>0.816338509230769*(0.3)</f>
        <v>0.24490155276923078</v>
      </c>
      <c r="I1463">
        <f>0.816338509230769*(0.3)</f>
        <v>0.24490155276923078</v>
      </c>
      <c r="J1463">
        <f>-0.163267701846154*(0.3)</f>
        <v>-4.8980310553846149E-2</v>
      </c>
      <c r="K1463">
        <f>0.816338509230769*(0.3)</f>
        <v>0.24490155276923078</v>
      </c>
      <c r="L1463">
        <f>0.400005869523077*(0.3)</f>
        <v>0.12000176085692309</v>
      </c>
      <c r="M1463">
        <f>0.897972360153846*(0.3)</f>
        <v>0.26939170804615387</v>
      </c>
      <c r="N1463">
        <f>0.816338509230769*(0.3)</f>
        <v>0.24490155276923078</v>
      </c>
    </row>
    <row r="1464" spans="1:14" x14ac:dyDescent="0.25">
      <c r="A1464">
        <f>-3.071179676*(0.3)</f>
        <v>-0.92135390279999996</v>
      </c>
      <c r="B1464">
        <f>0.236244590461538*(0.3)</f>
        <v>7.0873377138461535E-2</v>
      </c>
      <c r="C1464">
        <f>0.708733771384615*(0.3)</f>
        <v>0.21262013141538461</v>
      </c>
      <c r="D1464">
        <f>0.236244590461538*(0.3)</f>
        <v>7.0873377138461535E-2</v>
      </c>
      <c r="E1464">
        <f>0.236244590461538*(0.3)</f>
        <v>7.0873377138461535E-2</v>
      </c>
      <c r="F1464">
        <f>0.236244590461538*(0.3)</f>
        <v>7.0873377138461535E-2</v>
      </c>
      <c r="G1464">
        <f>0.141746754276923*(0.3)</f>
        <v>4.2524026283076923E-2</v>
      </c>
      <c r="H1464">
        <f>0.236244590461538*(0.3)</f>
        <v>7.0873377138461535E-2</v>
      </c>
      <c r="I1464">
        <f>0.236244590461538*(0.3)</f>
        <v>7.0873377138461535E-2</v>
      </c>
      <c r="J1464">
        <f>-0.0472489180923077*(0.3)</f>
        <v>-1.4174675427692303E-2</v>
      </c>
      <c r="K1464">
        <f>0.236244590461538*(0.3)</f>
        <v>7.0873377138461535E-2</v>
      </c>
      <c r="L1464">
        <f>0.115759849326154*(0.3)</f>
        <v>3.4727954797846149E-2</v>
      </c>
      <c r="M1464">
        <f>0.259869049507692*(0.3)</f>
        <v>7.7960714852307683E-2</v>
      </c>
      <c r="N1464">
        <f>0.236244590461538*(0.3)</f>
        <v>7.0873377138461535E-2</v>
      </c>
    </row>
    <row r="1465" spans="1:14" x14ac:dyDescent="0.25">
      <c r="A1465">
        <f>-12.54512748*(0.3)</f>
        <v>-3.7635382439999998</v>
      </c>
      <c r="B1465">
        <f>0.965009806153846*(0.3)</f>
        <v>0.28950294184615383</v>
      </c>
      <c r="C1465">
        <f>2.89502941846154*(0.3)</f>
        <v>0.86850882553846154</v>
      </c>
      <c r="D1465">
        <f>0.965009806153846*(0.3)</f>
        <v>0.28950294184615383</v>
      </c>
      <c r="E1465">
        <f>0.965009806153846*(0.3)</f>
        <v>0.28950294184615383</v>
      </c>
      <c r="F1465">
        <f>0.965009806153846*(0.3)</f>
        <v>0.28950294184615383</v>
      </c>
      <c r="G1465">
        <f>0.579005883692308*(0.3)</f>
        <v>0.17370176510769228</v>
      </c>
      <c r="H1465">
        <f>0.965009806153846*(0.3)</f>
        <v>0.28950294184615383</v>
      </c>
      <c r="I1465">
        <f>0.965009806153846*(0.3)</f>
        <v>0.28950294184615383</v>
      </c>
      <c r="J1465">
        <f>-0.193001961230769*(0.3)</f>
        <v>-5.7900588369230753E-2</v>
      </c>
      <c r="K1465">
        <f>0.965009806153846*(0.3)</f>
        <v>0.28950294184615383</v>
      </c>
      <c r="L1465">
        <f>0.472854805015385*(0.3)</f>
        <v>0.14185644150461538</v>
      </c>
      <c r="M1465">
        <f>1.06151078676923*(0.3)</f>
        <v>0.31845323603076925</v>
      </c>
      <c r="N1465">
        <f>0.965009806153846*(0.3)</f>
        <v>0.28950294184615383</v>
      </c>
    </row>
    <row r="1466" spans="1:14" x14ac:dyDescent="0.25">
      <c r="A1466">
        <f>2.186363165*(0.3)</f>
        <v>0.6559089495</v>
      </c>
      <c r="B1466">
        <f>-0.168181781923077*(0.3)</f>
        <v>-5.0454534576923074E-2</v>
      </c>
      <c r="C1466">
        <f>-0.504545345769231*(0.3)</f>
        <v>-0.15136360373076924</v>
      </c>
      <c r="D1466">
        <f>-0.168181781923077*(0.3)</f>
        <v>-5.0454534576923074E-2</v>
      </c>
      <c r="E1466">
        <f>-0.168181781923077*(0.3)</f>
        <v>-5.0454534576923074E-2</v>
      </c>
      <c r="F1466">
        <f>-0.168181781923077*(0.3)</f>
        <v>-5.0454534576923074E-2</v>
      </c>
      <c r="G1466">
        <f>-0.100909069153846*(0.3)</f>
        <v>-3.0272720746153843E-2</v>
      </c>
      <c r="H1466">
        <f>-0.168181781923077*(0.3)</f>
        <v>-5.0454534576923074E-2</v>
      </c>
      <c r="I1466">
        <f>-0.168181781923077*(0.3)</f>
        <v>-5.0454534576923074E-2</v>
      </c>
      <c r="J1466">
        <f>0.0336363563846154*(0.3)</f>
        <v>1.0090906915384614E-2</v>
      </c>
      <c r="K1466">
        <f>-0.168181781923077*(0.3)</f>
        <v>-5.0454534576923074E-2</v>
      </c>
      <c r="L1466">
        <f>-0.0824090731423077*(0.3)</f>
        <v>-2.4722721942692306E-2</v>
      </c>
      <c r="M1466">
        <f>-0.184999960115385*(0.3)</f>
        <v>-5.5499988034615387E-2</v>
      </c>
      <c r="N1466">
        <f>-0.168181781923077*(0.3)</f>
        <v>-5.0454534576923074E-2</v>
      </c>
    </row>
    <row r="1467" spans="1:14" x14ac:dyDescent="0.25">
      <c r="A1467">
        <f>-18.28563255*(0.3)</f>
        <v>-5.4856897649999992</v>
      </c>
      <c r="B1467">
        <f>1.40658711923077*(0.3)</f>
        <v>0.42197613576923071</v>
      </c>
      <c r="C1467">
        <f>4.21976135769231*(0.3)</f>
        <v>1.265928407307692</v>
      </c>
      <c r="D1467">
        <f>1.40658711923077*(0.3)</f>
        <v>0.42197613576923071</v>
      </c>
      <c r="E1467">
        <f>1.40658711923077*(0.3)</f>
        <v>0.42197613576923071</v>
      </c>
      <c r="F1467">
        <f>1.40658711923077*(0.3)</f>
        <v>0.42197613576923071</v>
      </c>
      <c r="G1467">
        <f>0.843952271538461*(0.3)</f>
        <v>0.25318568146153841</v>
      </c>
      <c r="H1467">
        <f>1.40658711923077*(0.3)</f>
        <v>0.42197613576923071</v>
      </c>
      <c r="I1467">
        <f>1.40658711923077*(0.3)</f>
        <v>0.42197613576923071</v>
      </c>
      <c r="J1467">
        <f>-0.281317423846154*(0.3)</f>
        <v>-8.4395227153846133E-2</v>
      </c>
      <c r="K1467">
        <f>1.40658711923077*(0.3)</f>
        <v>0.42197613576923071</v>
      </c>
      <c r="L1467">
        <f>0.689227688423077*(0.3)</f>
        <v>0.20676830652692305</v>
      </c>
      <c r="M1467">
        <f>1.54724583115385*(0.3)</f>
        <v>0.46417374934615385</v>
      </c>
      <c r="N1467">
        <f>1.40658711923077*(0.3)</f>
        <v>0.42197613576923071</v>
      </c>
    </row>
    <row r="1468" spans="1:14" x14ac:dyDescent="0.25">
      <c r="A1468">
        <f>0.29652251*(0.3)</f>
        <v>8.8956753E-2</v>
      </c>
      <c r="B1468">
        <f>-0.0228094238461538*(0.3)</f>
        <v>-6.8428271538461538E-3</v>
      </c>
      <c r="C1468">
        <f>-0.0684282715384615*(0.3)</f>
        <v>-2.0528481461538461E-2</v>
      </c>
      <c r="D1468">
        <f>-0.0228094238461538*(0.3)</f>
        <v>-6.8428271538461538E-3</v>
      </c>
      <c r="E1468">
        <f>-0.0228094238461538*(0.3)</f>
        <v>-6.8428271538461538E-3</v>
      </c>
      <c r="F1468">
        <f>-0.0228094238461538*(0.3)</f>
        <v>-6.8428271538461538E-3</v>
      </c>
      <c r="G1468">
        <f>-0.0136856543076923*(0.3)</f>
        <v>-4.1056962923076918E-3</v>
      </c>
      <c r="H1468">
        <f>-0.0228094238461538*(0.3)</f>
        <v>-6.8428271538461538E-3</v>
      </c>
      <c r="I1468">
        <f>-0.0228094238461538*(0.3)</f>
        <v>-6.8428271538461538E-3</v>
      </c>
      <c r="J1468">
        <f>0.00456188476923077*(0.3)</f>
        <v>1.3685654307692304E-3</v>
      </c>
      <c r="K1468">
        <f>-0.0228094238461538*(0.3)</f>
        <v>-6.8428271538461538E-3</v>
      </c>
      <c r="L1468">
        <f>-0.0111766176846154*(0.3)</f>
        <v>-3.3529853053846153E-3</v>
      </c>
      <c r="M1468">
        <f>-0.0250903662307692*(0.3)</f>
        <v>-7.5271098692307695E-3</v>
      </c>
      <c r="N1468">
        <f>-0.0228094238461538*(0.3)</f>
        <v>-6.8428271538461538E-3</v>
      </c>
    </row>
    <row r="1469" spans="1:14" x14ac:dyDescent="0.25">
      <c r="A1469">
        <f>-22.30334881*(0.3)</f>
        <v>-6.6910046429999994</v>
      </c>
      <c r="B1469">
        <f>1.71564221615385*(0.3)</f>
        <v>0.51469266484615384</v>
      </c>
      <c r="C1469">
        <f>5.14692664846154*(0.3)</f>
        <v>1.5440779945384615</v>
      </c>
      <c r="D1469">
        <f>1.71564221615385*(0.3)</f>
        <v>0.51469266484615384</v>
      </c>
      <c r="E1469">
        <f>1.71564221615385*(0.3)</f>
        <v>0.51469266484615384</v>
      </c>
      <c r="F1469">
        <f>1.71564221615385*(0.3)</f>
        <v>0.51469266484615384</v>
      </c>
      <c r="G1469">
        <f>1.02938532969231*(0.3)</f>
        <v>0.30881559890769228</v>
      </c>
      <c r="H1469">
        <f>1.71564221615385*(0.3)</f>
        <v>0.51469266484615384</v>
      </c>
      <c r="I1469">
        <f>1.71564221615385*(0.3)</f>
        <v>0.51469266484615384</v>
      </c>
      <c r="J1469">
        <f>-0.343128443230769*(0.3)</f>
        <v>-0.10293853296923074</v>
      </c>
      <c r="K1469">
        <f>1.71564221615385*(0.3)</f>
        <v>0.51469266484615384</v>
      </c>
      <c r="L1469">
        <f>0.840664685915385*(0.3)</f>
        <v>0.25219940577461536</v>
      </c>
      <c r="M1469">
        <f>1.88720643776923*(0.3)</f>
        <v>0.5661619313307692</v>
      </c>
      <c r="N1469">
        <f>1.71564221615385*(0.3)</f>
        <v>0.51469266484615384</v>
      </c>
    </row>
    <row r="1470" spans="1:14" x14ac:dyDescent="0.25">
      <c r="A1470">
        <f>-3.592548305*(0.3)</f>
        <v>-1.0777644915</v>
      </c>
      <c r="B1470">
        <f>0.276349869615385*(0.3)</f>
        <v>8.2904960884615395E-2</v>
      </c>
      <c r="C1470">
        <f>0.829049608846154*(0.3)</f>
        <v>0.24871488265384617</v>
      </c>
      <c r="D1470">
        <f>0.276349869615385*(0.3)</f>
        <v>8.2904960884615395E-2</v>
      </c>
      <c r="E1470">
        <f>0.276349869615385*(0.3)</f>
        <v>8.2904960884615395E-2</v>
      </c>
      <c r="F1470">
        <f>0.276349869615385*(0.3)</f>
        <v>8.2904960884615395E-2</v>
      </c>
      <c r="G1470">
        <f>0.165809921769231*(0.3)</f>
        <v>4.9742976530769235E-2</v>
      </c>
      <c r="H1470">
        <f>0.276349869615385*(0.3)</f>
        <v>8.2904960884615395E-2</v>
      </c>
      <c r="I1470">
        <f>0.276349869615385*(0.3)</f>
        <v>8.2904960884615395E-2</v>
      </c>
      <c r="J1470">
        <f>-0.0552699739230769*(0.3)</f>
        <v>-1.6580992176923076E-2</v>
      </c>
      <c r="K1470">
        <f>0.276349869615385*(0.3)</f>
        <v>8.2904960884615395E-2</v>
      </c>
      <c r="L1470">
        <f>0.135411436111538*(0.3)</f>
        <v>4.0623430833461538E-2</v>
      </c>
      <c r="M1470">
        <f>0.303984856576923*(0.3)</f>
        <v>9.1195456973076947E-2</v>
      </c>
      <c r="N1470">
        <f>0.276349869615385*(0.3)</f>
        <v>8.2904960884615395E-2</v>
      </c>
    </row>
    <row r="1471" spans="1:14" x14ac:dyDescent="0.25">
      <c r="A1471">
        <f>-23.32896972*(0.3)</f>
        <v>-6.9986909160000002</v>
      </c>
      <c r="B1471">
        <f>1.79453613230769*(0.3)</f>
        <v>0.53836083969230764</v>
      </c>
      <c r="C1471">
        <f>5.38360839692308*(0.3)</f>
        <v>1.6150825190769229</v>
      </c>
      <c r="D1471">
        <f>1.79453613230769*(0.3)</f>
        <v>0.53836083969230764</v>
      </c>
      <c r="E1471">
        <f>1.79453613230769*(0.3)</f>
        <v>0.53836083969230764</v>
      </c>
      <c r="F1471">
        <f>1.79453613230769*(0.3)</f>
        <v>0.53836083969230764</v>
      </c>
      <c r="G1471">
        <f>1.07672167938462*(0.3)</f>
        <v>0.32301650381538455</v>
      </c>
      <c r="H1471">
        <f>1.79453613230769*(0.3)</f>
        <v>0.53836083969230764</v>
      </c>
      <c r="I1471">
        <f>1.79453613230769*(0.3)</f>
        <v>0.53836083969230764</v>
      </c>
      <c r="J1471">
        <f>-0.358907226461538*(0.3)</f>
        <v>-0.10767216793846152</v>
      </c>
      <c r="K1471">
        <f>1.79453613230769*(0.3)</f>
        <v>0.53836083969230764</v>
      </c>
      <c r="L1471">
        <f>0.879322704830769*(0.3)</f>
        <v>0.26379681144923078</v>
      </c>
      <c r="M1471">
        <f>1.97398974553846*(0.3)</f>
        <v>0.59219692366153842</v>
      </c>
      <c r="N1471">
        <f>1.79453613230769*(0.3)</f>
        <v>0.53836083969230764</v>
      </c>
    </row>
    <row r="1472" spans="1:14" x14ac:dyDescent="0.25">
      <c r="A1472">
        <f>0.693639983*(0.3)</f>
        <v>0.20809199489999999</v>
      </c>
      <c r="B1472">
        <f>-0.0533569217692308*(0.3)</f>
        <v>-1.6007076530769229E-2</v>
      </c>
      <c r="C1472">
        <f>-0.160070765307692*(0.3)</f>
        <v>-4.8021229592307688E-2</v>
      </c>
      <c r="D1472">
        <f>-0.0533569217692308*(0.3)</f>
        <v>-1.6007076530769229E-2</v>
      </c>
      <c r="E1472">
        <f>-0.0533569217692308*(0.3)</f>
        <v>-1.6007076530769229E-2</v>
      </c>
      <c r="F1472">
        <f>-0.0533569217692308*(0.3)</f>
        <v>-1.6007076530769229E-2</v>
      </c>
      <c r="G1472">
        <f>-0.0320141530615385*(0.3)</f>
        <v>-9.6042459184615368E-3</v>
      </c>
      <c r="H1472">
        <f>-0.0533569217692308*(0.3)</f>
        <v>-1.6007076530769229E-2</v>
      </c>
      <c r="I1472">
        <f>-0.0533569217692308*(0.3)</f>
        <v>-1.6007076530769229E-2</v>
      </c>
      <c r="J1472">
        <f>0.0106713843538462*(0.3)</f>
        <v>3.2014153061538453E-3</v>
      </c>
      <c r="K1472">
        <f>-0.0533569217692308*(0.3)</f>
        <v>-1.6007076530769229E-2</v>
      </c>
      <c r="L1472">
        <f>-0.0261448916669231*(0.3)</f>
        <v>-7.8434675000769206E-3</v>
      </c>
      <c r="M1472">
        <f>-0.0586926139461538*(0.3)</f>
        <v>-1.7607784183846155E-2</v>
      </c>
      <c r="N1472">
        <f>-0.0533569217692308*(0.3)</f>
        <v>-1.6007076530769229E-2</v>
      </c>
    </row>
    <row r="1473" spans="1:14" x14ac:dyDescent="0.25">
      <c r="A1473">
        <f>1.314895358*(0.3)</f>
        <v>0.3944686074</v>
      </c>
      <c r="B1473">
        <f>-0.101145796769231*(0.3)</f>
        <v>-3.0343739030769229E-2</v>
      </c>
      <c r="C1473">
        <f>-0.303437390307692*(0.3)</f>
        <v>-9.1031217092307701E-2</v>
      </c>
      <c r="D1473">
        <f>-0.101145796769231*(0.3)</f>
        <v>-3.0343739030769229E-2</v>
      </c>
      <c r="E1473">
        <f>-0.101145796769231*(0.3)</f>
        <v>-3.0343739030769229E-2</v>
      </c>
      <c r="F1473">
        <f>-0.101145796769231*(0.3)</f>
        <v>-3.0343739030769229E-2</v>
      </c>
      <c r="G1473">
        <f>-0.0606874780615385*(0.3)</f>
        <v>-1.8206243418461537E-2</v>
      </c>
      <c r="H1473">
        <f>-0.101145796769231*(0.3)</f>
        <v>-3.0343739030769229E-2</v>
      </c>
      <c r="I1473">
        <f>-0.101145796769231*(0.3)</f>
        <v>-3.0343739030769229E-2</v>
      </c>
      <c r="J1473">
        <f>0.0202291593538462*(0.3)</f>
        <v>6.0687478061538453E-3</v>
      </c>
      <c r="K1473">
        <f>-0.101145796769231*(0.3)</f>
        <v>-3.0343739030769229E-2</v>
      </c>
      <c r="L1473">
        <f>-0.0495614404169231*(0.3)</f>
        <v>-1.4868432125076922E-2</v>
      </c>
      <c r="M1473">
        <f>-0.111260376446154*(0.3)</f>
        <v>-3.3378112933846155E-2</v>
      </c>
      <c r="N1473">
        <f>-0.101145796769231*(0.3)</f>
        <v>-3.0343739030769229E-2</v>
      </c>
    </row>
    <row r="1474" spans="1:14" x14ac:dyDescent="0.25">
      <c r="A1474">
        <f>-1.803569013*(0.3)</f>
        <v>-0.54107070390000001</v>
      </c>
      <c r="B1474">
        <f>0.138736077923077*(0.3)</f>
        <v>4.162082337692307E-2</v>
      </c>
      <c r="C1474">
        <f>0.416208233769231*(0.3)</f>
        <v>0.1248624701307692</v>
      </c>
      <c r="D1474">
        <f>0.138736077923077*(0.3)</f>
        <v>4.162082337692307E-2</v>
      </c>
      <c r="E1474">
        <f>0.138736077923077*(0.3)</f>
        <v>4.162082337692307E-2</v>
      </c>
      <c r="F1474">
        <f>0.138736077923077*(0.3)</f>
        <v>4.162082337692307E-2</v>
      </c>
      <c r="G1474">
        <f>0.0832416467538461*(0.3)</f>
        <v>2.4972494026153841E-2</v>
      </c>
      <c r="H1474">
        <f>0.138736077923077*(0.3)</f>
        <v>4.162082337692307E-2</v>
      </c>
      <c r="I1474">
        <f>0.138736077923077*(0.3)</f>
        <v>4.162082337692307E-2</v>
      </c>
      <c r="J1474">
        <f>-0.0277472155846154*(0.3)</f>
        <v>-8.324164675384613E-3</v>
      </c>
      <c r="K1474">
        <f>0.138736077923077*(0.3)</f>
        <v>4.162082337692307E-2</v>
      </c>
      <c r="L1474">
        <f>0.0679806781823077*(0.3)</f>
        <v>2.0394203454692304E-2</v>
      </c>
      <c r="M1474">
        <f>0.152609685715385*(0.3)</f>
        <v>4.5782905714615379E-2</v>
      </c>
      <c r="N1474">
        <f>0.138736077923077*(0.3)</f>
        <v>4.162082337692307E-2</v>
      </c>
    </row>
    <row r="1475" spans="1:14" x14ac:dyDescent="0.25">
      <c r="A1475">
        <f>0.320744429*(0.3)</f>
        <v>9.6223328699999999E-2</v>
      </c>
      <c r="B1475">
        <f>-0.0246726483846154*(0.3)</f>
        <v>-7.4017945153846149E-3</v>
      </c>
      <c r="C1475">
        <f>-0.0740179451538461*(0.3)</f>
        <v>-2.2205383546153843E-2</v>
      </c>
      <c r="D1475">
        <f>-0.0246726483846154*(0.3)</f>
        <v>-7.4017945153846149E-3</v>
      </c>
      <c r="E1475">
        <f>-0.0246726483846154*(0.3)</f>
        <v>-7.4017945153846149E-3</v>
      </c>
      <c r="F1475">
        <f>-0.0246726483846154*(0.3)</f>
        <v>-7.4017945153846149E-3</v>
      </c>
      <c r="G1475">
        <f>-0.0148035890307692*(0.3)</f>
        <v>-4.4410767092307691E-3</v>
      </c>
      <c r="H1475">
        <f>-0.0246726483846154*(0.3)</f>
        <v>-7.4017945153846149E-3</v>
      </c>
      <c r="I1475">
        <f>-0.0246726483846154*(0.3)</f>
        <v>-7.4017945153846149E-3</v>
      </c>
      <c r="J1475">
        <f>0.00493452967692308*(0.3)</f>
        <v>1.4803589030769227E-3</v>
      </c>
      <c r="K1475">
        <f>-0.0246726483846154*(0.3)</f>
        <v>-7.4017945153846149E-3</v>
      </c>
      <c r="L1475">
        <f>-0.0120895977084615*(0.3)</f>
        <v>-3.6268793125384612E-3</v>
      </c>
      <c r="M1475">
        <f>-0.0271399132230769*(0.3)</f>
        <v>-8.1419739669230766E-3</v>
      </c>
      <c r="N1475">
        <f>-0.0246726483846154*(0.3)</f>
        <v>-7.4017945153846149E-3</v>
      </c>
    </row>
    <row r="1476" spans="1:14" x14ac:dyDescent="0.25">
      <c r="A1476">
        <f>1.826024578*(0.3)</f>
        <v>0.54780737339999996</v>
      </c>
      <c r="B1476">
        <f>-0.140463429076923*(0.3)</f>
        <v>-4.213902872307692E-2</v>
      </c>
      <c r="C1476">
        <f>-0.421390287230769*(0.3)</f>
        <v>-0.12641708616923075</v>
      </c>
      <c r="D1476">
        <f>-0.140463429076923*(0.3)</f>
        <v>-4.213902872307692E-2</v>
      </c>
      <c r="E1476">
        <f>-0.140463429076923*(0.3)</f>
        <v>-4.213902872307692E-2</v>
      </c>
      <c r="F1476">
        <f>-0.140463429076923*(0.3)</f>
        <v>-4.213902872307692E-2</v>
      </c>
      <c r="G1476">
        <f>-0.0842780574461538*(0.3)</f>
        <v>-2.528341723384615E-2</v>
      </c>
      <c r="H1476">
        <f>-0.140463429076923*(0.3)</f>
        <v>-4.213902872307692E-2</v>
      </c>
      <c r="I1476">
        <f>-0.140463429076923*(0.3)</f>
        <v>-4.213902872307692E-2</v>
      </c>
      <c r="J1476">
        <f>0.0280926858153846*(0.3)</f>
        <v>8.4278057446153833E-3</v>
      </c>
      <c r="K1476">
        <f>-0.140463429076923*(0.3)</f>
        <v>-4.213902872307692E-2</v>
      </c>
      <c r="L1476">
        <f>-0.0688270802476923*(0.3)</f>
        <v>-2.0648124074307692E-2</v>
      </c>
      <c r="M1476">
        <f>-0.154509771984615*(0.3)</f>
        <v>-4.6352931595384624E-2</v>
      </c>
      <c r="N1476">
        <f>-0.140463429076923*(0.3)</f>
        <v>-4.213902872307692E-2</v>
      </c>
    </row>
    <row r="1477" spans="1:14" x14ac:dyDescent="0.25">
      <c r="A1477">
        <f>-5.593977697*(0.3)</f>
        <v>-1.6781933090999999</v>
      </c>
      <c r="B1477">
        <f>0.430305976692308*(0.3)</f>
        <v>0.1290917930076923</v>
      </c>
      <c r="C1477">
        <f>1.29091793007692*(0.3)</f>
        <v>0.3872753790230769</v>
      </c>
      <c r="D1477">
        <f>0.430305976692308*(0.3)</f>
        <v>0.1290917930076923</v>
      </c>
      <c r="E1477">
        <f>0.430305976692308*(0.3)</f>
        <v>0.1290917930076923</v>
      </c>
      <c r="F1477">
        <f>0.430305976692308*(0.3)</f>
        <v>0.1290917930076923</v>
      </c>
      <c r="G1477">
        <f>0.258183586015385*(0.3)</f>
        <v>7.7455075804615373E-2</v>
      </c>
      <c r="H1477">
        <f>0.430305976692308*(0.3)</f>
        <v>0.1290917930076923</v>
      </c>
      <c r="I1477">
        <f>0.430305976692308*(0.3)</f>
        <v>0.1290917930076923</v>
      </c>
      <c r="J1477">
        <f>-0.0860611953384615*(0.3)</f>
        <v>-2.5818358601538454E-2</v>
      </c>
      <c r="K1477">
        <f>0.430305976692308*(0.3)</f>
        <v>0.1290917930076923</v>
      </c>
      <c r="L1477">
        <f>0.210849928579231*(0.3)</f>
        <v>6.325497857376923E-2</v>
      </c>
      <c r="M1477">
        <f>0.473336574361538*(0.3)</f>
        <v>0.14200097230846154</v>
      </c>
      <c r="N1477">
        <f>0.430305976692308*(0.3)</f>
        <v>0.1290917930076923</v>
      </c>
    </row>
    <row r="1478" spans="1:14" x14ac:dyDescent="0.25">
      <c r="A1478">
        <f>0.238435392*(0.3)</f>
        <v>7.1530617599999999E-2</v>
      </c>
      <c r="B1478">
        <f>-0.018341184*(0.3)</f>
        <v>-5.5023551999999996E-3</v>
      </c>
      <c r="C1478">
        <f>-0.055023552*(0.3)</f>
        <v>-1.6507065599999999E-2</v>
      </c>
      <c r="D1478">
        <f>-0.018341184*(0.3)</f>
        <v>-5.5023551999999996E-3</v>
      </c>
      <c r="E1478">
        <f>-0.018341184*(0.3)</f>
        <v>-5.5023551999999996E-3</v>
      </c>
      <c r="F1478">
        <f>-0.018341184*(0.3)</f>
        <v>-5.5023551999999996E-3</v>
      </c>
      <c r="G1478">
        <f>-0.0110047104*(0.3)</f>
        <v>-3.3014131199999995E-3</v>
      </c>
      <c r="H1478">
        <f>-0.018341184*(0.3)</f>
        <v>-5.5023551999999996E-3</v>
      </c>
      <c r="I1478">
        <f>-0.018341184*(0.3)</f>
        <v>-5.5023551999999996E-3</v>
      </c>
      <c r="J1478">
        <f>0.0036682368*(0.3)</f>
        <v>1.1004710399999996E-3</v>
      </c>
      <c r="K1478">
        <f>-0.018341184*(0.3)</f>
        <v>-5.5023551999999996E-3</v>
      </c>
      <c r="L1478">
        <f>-0.00898718016*(0.3)</f>
        <v>-2.6961540479999999E-3</v>
      </c>
      <c r="M1478">
        <f>-0.0201753024*(0.3)</f>
        <v>-6.0525907199999998E-3</v>
      </c>
      <c r="N1478">
        <f>-0.018341184*(0.3)</f>
        <v>-5.5023551999999996E-3</v>
      </c>
    </row>
    <row r="1479" spans="1:14" x14ac:dyDescent="0.25">
      <c r="A1479">
        <f>-2.284750985*(0.3)</f>
        <v>-0.68542529549999998</v>
      </c>
      <c r="B1479">
        <f>0.175750075769231*(0.3)</f>
        <v>5.2725022730769226E-2</v>
      </c>
      <c r="C1479">
        <f>0.527250227307692*(0.3)</f>
        <v>0.1581750681923077</v>
      </c>
      <c r="D1479">
        <f>0.175750075769231*(0.3)</f>
        <v>5.2725022730769226E-2</v>
      </c>
      <c r="E1479">
        <f>0.175750075769231*(0.3)</f>
        <v>5.2725022730769226E-2</v>
      </c>
      <c r="F1479">
        <f>0.175750075769231*(0.3)</f>
        <v>5.2725022730769226E-2</v>
      </c>
      <c r="G1479">
        <f>0.105450045461538*(0.3)</f>
        <v>3.1635013638461537E-2</v>
      </c>
      <c r="H1479">
        <f>0.175750075769231*(0.3)</f>
        <v>5.2725022730769226E-2</v>
      </c>
      <c r="I1479">
        <f>0.175750075769231*(0.3)</f>
        <v>5.2725022730769226E-2</v>
      </c>
      <c r="J1479">
        <f>-0.0351500151538461*(0.3)</f>
        <v>-1.0545004546153843E-2</v>
      </c>
      <c r="K1479">
        <f>0.175750075769231*(0.3)</f>
        <v>5.2725022730769226E-2</v>
      </c>
      <c r="L1479">
        <f>0.0861175371269231*(0.3)</f>
        <v>2.5835261138076923E-2</v>
      </c>
      <c r="M1479">
        <f>0.193325083346154*(0.3)</f>
        <v>5.7997525003846154E-2</v>
      </c>
      <c r="N1479">
        <f>0.175750075769231*(0.3)</f>
        <v>5.2725022730769226E-2</v>
      </c>
    </row>
    <row r="1480" spans="1:14" x14ac:dyDescent="0.25">
      <c r="A1480">
        <f>-3.819614937*(0.3)</f>
        <v>-1.1458844811</v>
      </c>
      <c r="B1480">
        <f>0.293816533615385*(0.3)</f>
        <v>8.8144960084615379E-2</v>
      </c>
      <c r="C1480">
        <f>0.881449600846154*(0.3)</f>
        <v>0.26443488025384615</v>
      </c>
      <c r="D1480">
        <f>0.293816533615385*(0.3)</f>
        <v>8.8144960084615379E-2</v>
      </c>
      <c r="E1480">
        <f>0.293816533615385*(0.3)</f>
        <v>8.8144960084615379E-2</v>
      </c>
      <c r="F1480">
        <f>0.293816533615385*(0.3)</f>
        <v>8.8144960084615379E-2</v>
      </c>
      <c r="G1480">
        <f>0.176289920169231*(0.3)</f>
        <v>5.2886976050769224E-2</v>
      </c>
      <c r="H1480">
        <f>0.293816533615385*(0.3)</f>
        <v>8.8144960084615379E-2</v>
      </c>
      <c r="I1480">
        <f>0.293816533615385*(0.3)</f>
        <v>8.8144960084615379E-2</v>
      </c>
      <c r="J1480">
        <f>-0.0587633067230769*(0.3)</f>
        <v>-1.7628992016923074E-2</v>
      </c>
      <c r="K1480">
        <f>0.293816533615385*(0.3)</f>
        <v>8.8144960084615379E-2</v>
      </c>
      <c r="L1480">
        <f>0.143970101471538*(0.3)</f>
        <v>4.3191030441461539E-2</v>
      </c>
      <c r="M1480">
        <f>0.323198186976923*(0.3)</f>
        <v>9.6959456093076921E-2</v>
      </c>
      <c r="N1480">
        <f>0.293816533615385*(0.3)</f>
        <v>8.8144960084615379E-2</v>
      </c>
    </row>
    <row r="1481" spans="1:14" x14ac:dyDescent="0.25">
      <c r="A1481">
        <f>-5.245515104*(0.3)</f>
        <v>-1.5736545311999999</v>
      </c>
      <c r="B1481">
        <f>0.403501161846154*(0.3)</f>
        <v>0.12105034855384614</v>
      </c>
      <c r="C1481">
        <f>1.21050348553846*(0.3)</f>
        <v>0.36315104566153844</v>
      </c>
      <c r="D1481">
        <f>0.403501161846154*(0.3)</f>
        <v>0.12105034855384614</v>
      </c>
      <c r="E1481">
        <f>0.403501161846154*(0.3)</f>
        <v>0.12105034855384614</v>
      </c>
      <c r="F1481">
        <f>0.403501161846154*(0.3)</f>
        <v>0.12105034855384614</v>
      </c>
      <c r="G1481">
        <f>0.242100697107692*(0.3)</f>
        <v>7.263020913230768E-2</v>
      </c>
      <c r="H1481">
        <f>0.403501161846154*(0.3)</f>
        <v>0.12105034855384614</v>
      </c>
      <c r="I1481">
        <f>0.403501161846154*(0.3)</f>
        <v>0.12105034855384614</v>
      </c>
      <c r="J1481">
        <f>-0.0807002323692307*(0.3)</f>
        <v>-2.4210069710769222E-2</v>
      </c>
      <c r="K1481">
        <f>0.403501161846154*(0.3)</f>
        <v>0.12105034855384614</v>
      </c>
      <c r="L1481">
        <f>0.197715569304615*(0.3)</f>
        <v>5.9314670791384611E-2</v>
      </c>
      <c r="M1481">
        <f>0.443851278030769*(0.3)</f>
        <v>0.13315538340923078</v>
      </c>
      <c r="N1481">
        <f>0.403501161846154*(0.3)</f>
        <v>0.12105034855384614</v>
      </c>
    </row>
    <row r="1482" spans="1:14" x14ac:dyDescent="0.25">
      <c r="A1482">
        <f>1.426287292*(0.3)</f>
        <v>0.42788618760000002</v>
      </c>
      <c r="B1482">
        <f>-0.109714407076923*(0.3)</f>
        <v>-3.291432212307692E-2</v>
      </c>
      <c r="C1482">
        <f>-0.329143221230769*(0.3)</f>
        <v>-9.8742966369230759E-2</v>
      </c>
      <c r="D1482">
        <f>-0.109714407076923*(0.3)</f>
        <v>-3.291432212307692E-2</v>
      </c>
      <c r="E1482">
        <f>-0.109714407076923*(0.3)</f>
        <v>-3.291432212307692E-2</v>
      </c>
      <c r="F1482">
        <f>-0.109714407076923*(0.3)</f>
        <v>-3.291432212307692E-2</v>
      </c>
      <c r="G1482">
        <f>-0.0658286442461538*(0.3)</f>
        <v>-1.9748593273846152E-2</v>
      </c>
      <c r="H1482">
        <f>-0.109714407076923*(0.3)</f>
        <v>-3.291432212307692E-2</v>
      </c>
      <c r="I1482">
        <f>-0.109714407076923*(0.3)</f>
        <v>-3.291432212307692E-2</v>
      </c>
      <c r="J1482">
        <f>0.0219428814153846*(0.3)</f>
        <v>6.5828644246153827E-3</v>
      </c>
      <c r="K1482">
        <f>-0.109714407076923*(0.3)</f>
        <v>-3.291432212307692E-2</v>
      </c>
      <c r="L1482">
        <f>-0.0537600594676923*(0.3)</f>
        <v>-1.6128017840307693E-2</v>
      </c>
      <c r="M1482">
        <f>-0.120685847784615*(0.3)</f>
        <v>-3.6205754335384616E-2</v>
      </c>
      <c r="N1482">
        <f>-0.109714407076923*(0.3)</f>
        <v>-3.291432212307692E-2</v>
      </c>
    </row>
    <row r="1483" spans="1:14" x14ac:dyDescent="0.25">
      <c r="A1483">
        <f>-7.359399832*(0.3)</f>
        <v>-2.2078199496000002</v>
      </c>
      <c r="B1483">
        <f>0.566107679384615*(0.3)</f>
        <v>0.16983230381538461</v>
      </c>
      <c r="C1483">
        <f>1.69832303815385*(0.3)</f>
        <v>0.50949691144615383</v>
      </c>
      <c r="D1483">
        <f>0.566107679384615*(0.3)</f>
        <v>0.16983230381538461</v>
      </c>
      <c r="E1483">
        <f>0.566107679384615*(0.3)</f>
        <v>0.16983230381538461</v>
      </c>
      <c r="F1483">
        <f>0.566107679384615*(0.3)</f>
        <v>0.16983230381538461</v>
      </c>
      <c r="G1483">
        <f>0.339664607630769*(0.3)</f>
        <v>0.10189938228923076</v>
      </c>
      <c r="H1483">
        <f>0.566107679384615*(0.3)</f>
        <v>0.16983230381538461</v>
      </c>
      <c r="I1483">
        <f>0.566107679384615*(0.3)</f>
        <v>0.16983230381538461</v>
      </c>
      <c r="J1483">
        <f>-0.113221535876923*(0.3)</f>
        <v>-3.3966460763076911E-2</v>
      </c>
      <c r="K1483">
        <f>0.566107679384615*(0.3)</f>
        <v>0.16983230381538461</v>
      </c>
      <c r="L1483">
        <f>0.277392762898462*(0.3)</f>
        <v>8.3217828869538463E-2</v>
      </c>
      <c r="M1483">
        <f>0.622718447323077*(0.3)</f>
        <v>0.18681553419692307</v>
      </c>
      <c r="N1483">
        <f>0.566107679384615*(0.3)</f>
        <v>0.16983230381538461</v>
      </c>
    </row>
    <row r="1484" spans="1:14" x14ac:dyDescent="0.25">
      <c r="A1484">
        <f>-0.563536588*(0.3)</f>
        <v>-0.16906097639999998</v>
      </c>
      <c r="B1484">
        <f>0.0433489683076923*(0.3)</f>
        <v>1.300469049230769E-2</v>
      </c>
      <c r="C1484">
        <f>0.130046904923077*(0.3)</f>
        <v>3.9014071476923075E-2</v>
      </c>
      <c r="D1484">
        <f>0.0433489683076923*(0.3)</f>
        <v>1.300469049230769E-2</v>
      </c>
      <c r="E1484">
        <f>0.0433489683076923*(0.3)</f>
        <v>1.300469049230769E-2</v>
      </c>
      <c r="F1484">
        <f>0.0433489683076923*(0.3)</f>
        <v>1.300469049230769E-2</v>
      </c>
      <c r="G1484">
        <f>0.0260093809846154*(0.3)</f>
        <v>7.8028142953846143E-3</v>
      </c>
      <c r="H1484">
        <f>0.0433489683076923*(0.3)</f>
        <v>1.300469049230769E-2</v>
      </c>
      <c r="I1484">
        <f>0.0433489683076923*(0.3)</f>
        <v>1.300469049230769E-2</v>
      </c>
      <c r="J1484">
        <f>-0.00866979366153846*(0.3)</f>
        <v>-2.6009380984615372E-3</v>
      </c>
      <c r="K1484">
        <f>0.0433489683076923*(0.3)</f>
        <v>1.300469049230769E-2</v>
      </c>
      <c r="L1484">
        <f>0.0212409944707692*(0.3)</f>
        <v>6.3722983412307687E-3</v>
      </c>
      <c r="M1484">
        <f>0.0476838651384615*(0.3)</f>
        <v>1.4305159541538461E-2</v>
      </c>
      <c r="N1484">
        <f>0.0433489683076923*(0.3)</f>
        <v>1.300469049230769E-2</v>
      </c>
    </row>
    <row r="1485" spans="1:14" x14ac:dyDescent="0.25">
      <c r="A1485">
        <f>-7.482735439*(0.3)</f>
        <v>-2.2448206316999997</v>
      </c>
      <c r="B1485">
        <f>0.575595033769231*(0.3)</f>
        <v>0.17267851013076921</v>
      </c>
      <c r="C1485">
        <f>1.72678510130769*(0.3)</f>
        <v>0.51803553039230754</v>
      </c>
      <c r="D1485">
        <f>0.575595033769231*(0.3)</f>
        <v>0.17267851013076921</v>
      </c>
      <c r="E1485">
        <f>0.575595033769231*(0.3)</f>
        <v>0.17267851013076921</v>
      </c>
      <c r="F1485">
        <f>0.575595033769231*(0.3)</f>
        <v>0.17267851013076921</v>
      </c>
      <c r="G1485">
        <f>0.345357020261538*(0.3)</f>
        <v>0.10360710607846152</v>
      </c>
      <c r="H1485">
        <f>0.575595033769231*(0.3)</f>
        <v>0.17267851013076921</v>
      </c>
      <c r="I1485">
        <f>0.575595033769231*(0.3)</f>
        <v>0.17267851013076921</v>
      </c>
      <c r="J1485">
        <f>-0.115119006753846*(0.3)</f>
        <v>-3.4535702026153837E-2</v>
      </c>
      <c r="K1485">
        <f>0.575595033769231*(0.3)</f>
        <v>0.17267851013076921</v>
      </c>
      <c r="L1485">
        <f>0.282041566546923*(0.3)</f>
        <v>8.4612469964076911E-2</v>
      </c>
      <c r="M1485">
        <f>0.633154537146154*(0.3)</f>
        <v>0.18994636114384617</v>
      </c>
      <c r="N1485">
        <f>0.575595033769231*(0.3)</f>
        <v>0.17267851013076921</v>
      </c>
    </row>
    <row r="1486" spans="1:14" x14ac:dyDescent="0.25">
      <c r="A1486">
        <f>0.682010418*(0.3)</f>
        <v>0.20460312539999997</v>
      </c>
      <c r="B1486">
        <f>-0.0524623398461538*(0.3)</f>
        <v>-1.5738701953846152E-2</v>
      </c>
      <c r="C1486">
        <f>-0.157387019538462*(0.3)</f>
        <v>-4.721610586153846E-2</v>
      </c>
      <c r="D1486">
        <f>-0.0524623398461538*(0.3)</f>
        <v>-1.5738701953846152E-2</v>
      </c>
      <c r="E1486">
        <f>-0.0524623398461538*(0.3)</f>
        <v>-1.5738701953846152E-2</v>
      </c>
      <c r="F1486">
        <f>-0.0524623398461538*(0.3)</f>
        <v>-1.5738701953846152E-2</v>
      </c>
      <c r="G1486">
        <f>-0.0314774039076923*(0.3)</f>
        <v>-9.4432211723076906E-3</v>
      </c>
      <c r="H1486">
        <f>-0.0524623398461538*(0.3)</f>
        <v>-1.5738701953846152E-2</v>
      </c>
      <c r="I1486">
        <f>-0.0524623398461538*(0.3)</f>
        <v>-1.5738701953846152E-2</v>
      </c>
      <c r="J1486">
        <f>0.0104924679692308*(0.3)</f>
        <v>3.1477403907692299E-3</v>
      </c>
      <c r="K1486">
        <f>-0.0524623398461538*(0.3)</f>
        <v>-1.5738701953846152E-2</v>
      </c>
      <c r="L1486">
        <f>-0.0257065465246154*(0.3)</f>
        <v>-7.7119639573846148E-3</v>
      </c>
      <c r="M1486">
        <f>-0.0577085738307692*(0.3)</f>
        <v>-1.7312572149230772E-2</v>
      </c>
      <c r="N1486">
        <f>-0.0524623398461538*(0.3)</f>
        <v>-1.5738701953846152E-2</v>
      </c>
    </row>
    <row r="1487" spans="1:14" x14ac:dyDescent="0.25">
      <c r="A1487">
        <f>-7.497219037*(0.3)</f>
        <v>-2.2491657110999999</v>
      </c>
      <c r="B1487">
        <f>0.576709156692308*(0.3)</f>
        <v>0.17301274700769231</v>
      </c>
      <c r="C1487">
        <f>1.73012747007692*(0.3)</f>
        <v>0.51903824102307694</v>
      </c>
      <c r="D1487">
        <f>0.576709156692308*(0.3)</f>
        <v>0.17301274700769231</v>
      </c>
      <c r="E1487">
        <f>0.576709156692308*(0.3)</f>
        <v>0.17301274700769231</v>
      </c>
      <c r="F1487">
        <f>0.576709156692308*(0.3)</f>
        <v>0.17301274700769231</v>
      </c>
      <c r="G1487">
        <f>0.346025494015385*(0.3)</f>
        <v>0.10380764820461538</v>
      </c>
      <c r="H1487">
        <f>0.576709156692308*(0.3)</f>
        <v>0.17301274700769231</v>
      </c>
      <c r="I1487">
        <f>0.576709156692308*(0.3)</f>
        <v>0.17301274700769231</v>
      </c>
      <c r="J1487">
        <f>-0.115341831338462*(0.3)</f>
        <v>-3.4602549401538452E-2</v>
      </c>
      <c r="K1487">
        <f>0.576709156692308*(0.3)</f>
        <v>0.17301274700769231</v>
      </c>
      <c r="L1487">
        <f>0.282587486779231*(0.3)</f>
        <v>8.4776246033769237E-2</v>
      </c>
      <c r="M1487">
        <f>0.634380072361538*(0.3)</f>
        <v>0.19031402170846154</v>
      </c>
      <c r="N1487">
        <f>0.576709156692308*(0.3)</f>
        <v>0.17301274700769231</v>
      </c>
    </row>
    <row r="1488" spans="1:14" x14ac:dyDescent="0.25">
      <c r="A1488">
        <f>-2.336535202*(0.3)</f>
        <v>-0.70096056059999989</v>
      </c>
      <c r="B1488">
        <f>0.179733477076923*(0.3)</f>
        <v>5.3920043123076918E-2</v>
      </c>
      <c r="C1488">
        <f>0.539200431230769*(0.3)</f>
        <v>0.16176012936923076</v>
      </c>
      <c r="D1488">
        <f>0.179733477076923*(0.3)</f>
        <v>5.3920043123076918E-2</v>
      </c>
      <c r="E1488">
        <f>0.179733477076923*(0.3)</f>
        <v>5.3920043123076918E-2</v>
      </c>
      <c r="F1488">
        <f>0.179733477076923*(0.3)</f>
        <v>5.3920043123076918E-2</v>
      </c>
      <c r="G1488">
        <f>0.107840086246154*(0.3)</f>
        <v>3.2352025873846148E-2</v>
      </c>
      <c r="H1488">
        <f>0.179733477076923*(0.3)</f>
        <v>5.3920043123076918E-2</v>
      </c>
      <c r="I1488">
        <f>0.179733477076923*(0.3)</f>
        <v>5.3920043123076918E-2</v>
      </c>
      <c r="J1488">
        <f>-0.0359466954153846*(0.3)</f>
        <v>-1.078400862461538E-2</v>
      </c>
      <c r="K1488">
        <f>0.179733477076923*(0.3)</f>
        <v>5.3920043123076918E-2</v>
      </c>
      <c r="L1488">
        <f>0.0880694037676923*(0.3)</f>
        <v>2.6420821130307685E-2</v>
      </c>
      <c r="M1488">
        <f>0.197706824784615*(0.3)</f>
        <v>5.931204743538461E-2</v>
      </c>
      <c r="N1488">
        <f>0.179733477076923*(0.3)</f>
        <v>5.3920043123076918E-2</v>
      </c>
    </row>
    <row r="1489" spans="1:14" x14ac:dyDescent="0.25">
      <c r="A1489">
        <f>-3.294568294*(0.3)</f>
        <v>-0.98837048819999995</v>
      </c>
      <c r="B1489">
        <f>0.253428330307692*(0.3)</f>
        <v>7.6028499092307689E-2</v>
      </c>
      <c r="C1489">
        <f>0.760284990923077*(0.3)</f>
        <v>0.22808549727692307</v>
      </c>
      <c r="D1489">
        <f>0.253428330307692*(0.3)</f>
        <v>7.6028499092307689E-2</v>
      </c>
      <c r="E1489">
        <f>0.253428330307692*(0.3)</f>
        <v>7.6028499092307689E-2</v>
      </c>
      <c r="F1489">
        <f>0.253428330307692*(0.3)</f>
        <v>7.6028499092307689E-2</v>
      </c>
      <c r="G1489">
        <f>0.152056998184615*(0.3)</f>
        <v>4.5617099455384613E-2</v>
      </c>
      <c r="H1489">
        <f>0.253428330307692*(0.3)</f>
        <v>7.6028499092307689E-2</v>
      </c>
      <c r="I1489">
        <f>0.253428330307692*(0.3)</f>
        <v>7.6028499092307689E-2</v>
      </c>
      <c r="J1489">
        <f>-0.0506856660615384*(0.3)</f>
        <v>-1.5205699818461533E-2</v>
      </c>
      <c r="K1489">
        <f>0.253428330307692*(0.3)</f>
        <v>7.6028499092307689E-2</v>
      </c>
      <c r="L1489">
        <f>0.124179881850769*(0.3)</f>
        <v>3.7253964555230765E-2</v>
      </c>
      <c r="M1489">
        <f>0.278771163338462*(0.3)</f>
        <v>8.3631349001538458E-2</v>
      </c>
      <c r="N1489">
        <f>0.253428330307692*(0.3)</f>
        <v>7.6028499092307689E-2</v>
      </c>
    </row>
    <row r="1490" spans="1:14" x14ac:dyDescent="0.25">
      <c r="A1490">
        <f>-1.625488397*(0.3)</f>
        <v>-0.48764651910000001</v>
      </c>
      <c r="B1490">
        <f>0.125037569*(0.3)</f>
        <v>3.7511270700000002E-2</v>
      </c>
      <c r="C1490">
        <f>0.375112707*(0.3)</f>
        <v>0.11253381210000001</v>
      </c>
      <c r="D1490">
        <f>0.125037569*(0.3)</f>
        <v>3.7511270700000002E-2</v>
      </c>
      <c r="E1490">
        <f>0.125037569*(0.3)</f>
        <v>3.7511270700000002E-2</v>
      </c>
      <c r="F1490">
        <f>0.125037569*(0.3)</f>
        <v>3.7511270700000002E-2</v>
      </c>
      <c r="G1490">
        <f>0.0750225414*(0.3)</f>
        <v>2.250676242E-2</v>
      </c>
      <c r="H1490">
        <f>0.125037569*(0.3)</f>
        <v>3.7511270700000002E-2</v>
      </c>
      <c r="I1490">
        <f>0.125037569*(0.3)</f>
        <v>3.7511270700000002E-2</v>
      </c>
      <c r="J1490">
        <f>-0.0250075138*(0.3)</f>
        <v>-7.5022541399999993E-3</v>
      </c>
      <c r="K1490">
        <f>0.125037569*(0.3)</f>
        <v>3.7511270700000002E-2</v>
      </c>
      <c r="L1490">
        <f>0.06126840881*(0.3)</f>
        <v>1.8380522643E-2</v>
      </c>
      <c r="M1490">
        <f>0.1375413259*(0.3)</f>
        <v>4.1262397770000007E-2</v>
      </c>
      <c r="N1490">
        <f>0.125037569*(0.3)</f>
        <v>3.7511270700000002E-2</v>
      </c>
    </row>
    <row r="1491" spans="1:14" x14ac:dyDescent="0.25">
      <c r="A1491">
        <f>-4.136086548*(0.3)</f>
        <v>-1.2408259643999999</v>
      </c>
      <c r="B1491">
        <f>0.318160503692308*(0.3)</f>
        <v>9.5448151107692308E-2</v>
      </c>
      <c r="C1491">
        <f>0.954481511076923*(0.3)</f>
        <v>0.28634445332307695</v>
      </c>
      <c r="D1491">
        <f>0.318160503692308*(0.3)</f>
        <v>9.5448151107692308E-2</v>
      </c>
      <c r="E1491">
        <f>0.318160503692308*(0.3)</f>
        <v>9.5448151107692308E-2</v>
      </c>
      <c r="F1491">
        <f>0.318160503692308*(0.3)</f>
        <v>9.5448151107692308E-2</v>
      </c>
      <c r="G1491">
        <f>0.190896302215385*(0.3)</f>
        <v>5.7268890664615379E-2</v>
      </c>
      <c r="H1491">
        <f>0.318160503692308*(0.3)</f>
        <v>9.5448151107692308E-2</v>
      </c>
      <c r="I1491">
        <f>0.318160503692308*(0.3)</f>
        <v>9.5448151107692308E-2</v>
      </c>
      <c r="J1491">
        <f>-0.0636321007384615*(0.3)</f>
        <v>-1.9089630221538458E-2</v>
      </c>
      <c r="K1491">
        <f>0.318160503692308*(0.3)</f>
        <v>9.5448151107692308E-2</v>
      </c>
      <c r="L1491">
        <f>0.155898646809231*(0.3)</f>
        <v>4.676959404276923E-2</v>
      </c>
      <c r="M1491">
        <f>0.349976554061538*(0.3)</f>
        <v>0.10499296621846155</v>
      </c>
      <c r="N1491">
        <f>0.318160503692308*(0.3)</f>
        <v>9.5448151107692308E-2</v>
      </c>
    </row>
    <row r="1492" spans="1:14" x14ac:dyDescent="0.25">
      <c r="A1492">
        <f>-1.090567414*(0.3)</f>
        <v>-0.32717022419999997</v>
      </c>
      <c r="B1492">
        <f>0.0838898010769231*(0.3)</f>
        <v>2.5166940323076918E-2</v>
      </c>
      <c r="C1492">
        <f>0.251669403230769*(0.3)</f>
        <v>7.5500820969230761E-2</v>
      </c>
      <c r="D1492">
        <f>0.0838898010769231*(0.3)</f>
        <v>2.5166940323076918E-2</v>
      </c>
      <c r="E1492">
        <f>0.0838898010769231*(0.3)</f>
        <v>2.5166940323076918E-2</v>
      </c>
      <c r="F1492">
        <f>0.0838898010769231*(0.3)</f>
        <v>2.5166940323076918E-2</v>
      </c>
      <c r="G1492">
        <f>0.0503338806461538*(0.3)</f>
        <v>1.510016419384615E-2</v>
      </c>
      <c r="H1492">
        <f>0.0838898010769231*(0.3)</f>
        <v>2.5166940323076918E-2</v>
      </c>
      <c r="I1492">
        <f>0.0838898010769231*(0.3)</f>
        <v>2.5166940323076918E-2</v>
      </c>
      <c r="J1492">
        <f>-0.0167779602153846*(0.3)</f>
        <v>-5.0333880646153831E-3</v>
      </c>
      <c r="K1492">
        <f>0.0838898010769231*(0.3)</f>
        <v>2.5166940323076918E-2</v>
      </c>
      <c r="L1492">
        <f>0.0411060025276923*(0.3)</f>
        <v>1.233180075830769E-2</v>
      </c>
      <c r="M1492">
        <f>0.0922787811846154*(0.3)</f>
        <v>2.7683634355384613E-2</v>
      </c>
      <c r="N1492">
        <f>0.0838898010769231*(0.3)</f>
        <v>2.5166940323076918E-2</v>
      </c>
    </row>
    <row r="1493" spans="1:14" x14ac:dyDescent="0.25">
      <c r="A1493">
        <f>-7.642067099*(0.3)</f>
        <v>-2.2926201297</v>
      </c>
      <c r="B1493">
        <f>0.587851315307692*(0.3)</f>
        <v>0.17635539459230767</v>
      </c>
      <c r="C1493">
        <f>1.76355394592308*(0.3)</f>
        <v>0.52906618377692305</v>
      </c>
      <c r="D1493">
        <f>0.587851315307692*(0.3)</f>
        <v>0.17635539459230767</v>
      </c>
      <c r="E1493">
        <f>0.587851315307692*(0.3)</f>
        <v>0.17635539459230767</v>
      </c>
      <c r="F1493">
        <f>0.587851315307692*(0.3)</f>
        <v>0.17635539459230767</v>
      </c>
      <c r="G1493">
        <f>0.352710789184615*(0.3)</f>
        <v>0.10581323675538461</v>
      </c>
      <c r="H1493">
        <f>0.587851315307692*(0.3)</f>
        <v>0.17635539459230767</v>
      </c>
      <c r="I1493">
        <f>0.587851315307692*(0.3)</f>
        <v>0.17635539459230767</v>
      </c>
      <c r="J1493">
        <f>-0.117570263061538*(0.3)</f>
        <v>-3.5271078918461526E-2</v>
      </c>
      <c r="K1493">
        <f>0.587851315307692*(0.3)</f>
        <v>0.17635539459230767</v>
      </c>
      <c r="L1493">
        <f>0.288047144500769*(0.3)</f>
        <v>8.6414143350230774E-2</v>
      </c>
      <c r="M1493">
        <f>0.646636446838462*(0.3)</f>
        <v>0.19399093405153847</v>
      </c>
      <c r="N1493">
        <f>0.587851315307692*(0.3)</f>
        <v>0.17635539459230767</v>
      </c>
    </row>
    <row r="1494" spans="1:14" x14ac:dyDescent="0.25">
      <c r="A1494">
        <f>1.804196659*(0.3)</f>
        <v>0.54125899769999997</v>
      </c>
      <c r="B1494">
        <f>-0.138784358384615*(0.3)</f>
        <v>-4.1635307515384613E-2</v>
      </c>
      <c r="C1494">
        <f>-0.416353075153846*(0.3)</f>
        <v>-0.12490592254615385</v>
      </c>
      <c r="D1494">
        <f>-0.138784358384615*(0.3)</f>
        <v>-4.1635307515384613E-2</v>
      </c>
      <c r="E1494">
        <f>-0.138784358384615*(0.3)</f>
        <v>-4.1635307515384613E-2</v>
      </c>
      <c r="F1494">
        <f>-0.138784358384615*(0.3)</f>
        <v>-4.1635307515384613E-2</v>
      </c>
      <c r="G1494">
        <f>-0.0832706150307692*(0.3)</f>
        <v>-2.4981184509230769E-2</v>
      </c>
      <c r="H1494">
        <f>-0.138784358384615*(0.3)</f>
        <v>-4.1635307515384613E-2</v>
      </c>
      <c r="I1494">
        <f>-0.138784358384615*(0.3)</f>
        <v>-4.1635307515384613E-2</v>
      </c>
      <c r="J1494">
        <f>0.0277568716769231*(0.3)</f>
        <v>8.3270615030769206E-3</v>
      </c>
      <c r="K1494">
        <f>-0.138784358384615*(0.3)</f>
        <v>-4.1635307515384613E-2</v>
      </c>
      <c r="L1494">
        <f>-0.0680043356084615*(0.3)</f>
        <v>-2.0401300682538464E-2</v>
      </c>
      <c r="M1494">
        <f>-0.152662794223077*(0.3)</f>
        <v>-4.5798838266923082E-2</v>
      </c>
      <c r="N1494">
        <f>-0.138784358384615*(0.3)</f>
        <v>-4.1635307515384613E-2</v>
      </c>
    </row>
    <row r="1495" spans="1:14" x14ac:dyDescent="0.25">
      <c r="A1495">
        <f>-8.825833347*(0.3)</f>
        <v>-2.6477500040999997</v>
      </c>
      <c r="B1495">
        <f>0.678910257461538*(0.3)</f>
        <v>0.20367307723846154</v>
      </c>
      <c r="C1495">
        <f>2.03673077238462*(0.3)</f>
        <v>0.61101923171538453</v>
      </c>
      <c r="D1495">
        <f>0.678910257461538*(0.3)</f>
        <v>0.20367307723846154</v>
      </c>
      <c r="E1495">
        <f>0.678910257461538*(0.3)</f>
        <v>0.20367307723846154</v>
      </c>
      <c r="F1495">
        <f>0.678910257461538*(0.3)</f>
        <v>0.20367307723846154</v>
      </c>
      <c r="G1495">
        <f>0.407346154476923*(0.3)</f>
        <v>0.12220384634307692</v>
      </c>
      <c r="H1495">
        <f>0.678910257461538*(0.3)</f>
        <v>0.20367307723846154</v>
      </c>
      <c r="I1495">
        <f>0.678910257461538*(0.3)</f>
        <v>0.20367307723846154</v>
      </c>
      <c r="J1495">
        <f>-0.135782051492308*(0.3)</f>
        <v>-4.0734615447692295E-2</v>
      </c>
      <c r="K1495">
        <f>0.678910257461538*(0.3)</f>
        <v>0.20367307723846154</v>
      </c>
      <c r="L1495">
        <f>0.332666026156154*(0.3)</f>
        <v>9.9799807846846139E-2</v>
      </c>
      <c r="M1495">
        <f>0.746801283207692*(0.3)</f>
        <v>0.22404038496230769</v>
      </c>
      <c r="N1495">
        <f>0.678910257461538*(0.3)</f>
        <v>0.20367307723846154</v>
      </c>
    </row>
    <row r="1496" spans="1:14" x14ac:dyDescent="0.25">
      <c r="A1496">
        <f>1.494409153*(0.3)</f>
        <v>0.44832274590000004</v>
      </c>
      <c r="B1496">
        <f>-0.114954550230769*(0.3)</f>
        <v>-3.4486365069230772E-2</v>
      </c>
      <c r="C1496">
        <f>-0.344863650692308*(0.3)</f>
        <v>-0.10345909520769232</v>
      </c>
      <c r="D1496">
        <f>-0.114954550230769*(0.3)</f>
        <v>-3.4486365069230772E-2</v>
      </c>
      <c r="E1496">
        <f>-0.114954550230769*(0.3)</f>
        <v>-3.4486365069230772E-2</v>
      </c>
      <c r="F1496">
        <f>-0.114954550230769*(0.3)</f>
        <v>-3.4486365069230772E-2</v>
      </c>
      <c r="G1496">
        <f>-0.0689727301384615*(0.3)</f>
        <v>-2.0691819041538464E-2</v>
      </c>
      <c r="H1496">
        <f>-0.114954550230769*(0.3)</f>
        <v>-3.4486365069230772E-2</v>
      </c>
      <c r="I1496">
        <f>-0.114954550230769*(0.3)</f>
        <v>-3.4486365069230772E-2</v>
      </c>
      <c r="J1496">
        <f>0.0229909100461538*(0.3)</f>
        <v>6.8972730138461532E-3</v>
      </c>
      <c r="K1496">
        <f>-0.114954550230769*(0.3)</f>
        <v>-3.4486365069230772E-2</v>
      </c>
      <c r="L1496">
        <f>-0.0563277296130769*(0.3)</f>
        <v>-1.689831888392308E-2</v>
      </c>
      <c r="M1496">
        <f>-0.126450005253846*(0.3)</f>
        <v>-3.793500157615385E-2</v>
      </c>
      <c r="N1496">
        <f>-0.114954550230769*(0.3)</f>
        <v>-3.4486365069230772E-2</v>
      </c>
    </row>
    <row r="1497" spans="1:14" x14ac:dyDescent="0.25">
      <c r="A1497">
        <f>-9.90073292*(0.3)</f>
        <v>-2.9702198759999998</v>
      </c>
      <c r="B1497">
        <f>0.76159484*(0.3)</f>
        <v>0.228478452</v>
      </c>
      <c r="C1497">
        <f>2.28478452*(0.3)</f>
        <v>0.68543535600000005</v>
      </c>
      <c r="D1497">
        <f>0.76159484*(0.3)</f>
        <v>0.228478452</v>
      </c>
      <c r="E1497">
        <f>0.76159484*(0.3)</f>
        <v>0.228478452</v>
      </c>
      <c r="F1497">
        <f>0.76159484*(0.3)</f>
        <v>0.228478452</v>
      </c>
      <c r="G1497">
        <f>0.456956904*(0.3)</f>
        <v>0.13708707119999999</v>
      </c>
      <c r="H1497">
        <f>0.76159484*(0.3)</f>
        <v>0.228478452</v>
      </c>
      <c r="I1497">
        <f>0.76159484*(0.3)</f>
        <v>0.228478452</v>
      </c>
      <c r="J1497">
        <f>-0.152318968*(0.3)</f>
        <v>-4.5695690399999989E-2</v>
      </c>
      <c r="K1497">
        <f>0.76159484*(0.3)</f>
        <v>0.228478452</v>
      </c>
      <c r="L1497">
        <f>0.3731814716*(0.3)</f>
        <v>0.11195444147999999</v>
      </c>
      <c r="M1497">
        <f>0.837754324*(0.3)</f>
        <v>0.25132629719999999</v>
      </c>
      <c r="N1497">
        <f>0.76159484*(0.3)</f>
        <v>0.228478452</v>
      </c>
    </row>
    <row r="1498" spans="1:14" x14ac:dyDescent="0.25">
      <c r="A1498">
        <f>-1.412647465*(0.3)</f>
        <v>-0.4237942395</v>
      </c>
      <c r="B1498">
        <f>0.108665189615385*(0.3)</f>
        <v>3.2599556884615383E-2</v>
      </c>
      <c r="C1498">
        <f>0.325995568846154*(0.3)</f>
        <v>9.7798670653846148E-2</v>
      </c>
      <c r="D1498">
        <f>0.108665189615385*(0.3)</f>
        <v>3.2599556884615383E-2</v>
      </c>
      <c r="E1498">
        <f>0.108665189615385*(0.3)</f>
        <v>3.2599556884615383E-2</v>
      </c>
      <c r="F1498">
        <f>0.108665189615385*(0.3)</f>
        <v>3.2599556884615383E-2</v>
      </c>
      <c r="G1498">
        <f>0.0651991137692308*(0.3)</f>
        <v>1.9559734130769228E-2</v>
      </c>
      <c r="H1498">
        <f>0.108665189615385*(0.3)</f>
        <v>3.2599556884615383E-2</v>
      </c>
      <c r="I1498">
        <f>0.108665189615385*(0.3)</f>
        <v>3.2599556884615383E-2</v>
      </c>
      <c r="J1498">
        <f>-0.0217330379230769*(0.3)</f>
        <v>-6.519911376923075E-3</v>
      </c>
      <c r="K1498">
        <f>0.108665189615385*(0.3)</f>
        <v>3.2599556884615383E-2</v>
      </c>
      <c r="L1498">
        <f>0.0532459429115385*(0.3)</f>
        <v>1.5973782873461538E-2</v>
      </c>
      <c r="M1498">
        <f>0.119531708576923*(0.3)</f>
        <v>3.5859512573076922E-2</v>
      </c>
      <c r="N1498">
        <f>0.108665189615385*(0.3)</f>
        <v>3.2599556884615383E-2</v>
      </c>
    </row>
    <row r="1499" spans="1:14" x14ac:dyDescent="0.25">
      <c r="A1499">
        <f>-9.253132872*(0.3)</f>
        <v>-2.7759398615999999</v>
      </c>
      <c r="B1499">
        <f>0.711779451692308*(0.3)</f>
        <v>0.21353383550769231</v>
      </c>
      <c r="C1499">
        <f>2.13533835507692*(0.3)</f>
        <v>0.64060150652307701</v>
      </c>
      <c r="D1499">
        <f>0.711779451692308*(0.3)</f>
        <v>0.21353383550769231</v>
      </c>
      <c r="E1499">
        <f>0.711779451692308*(0.3)</f>
        <v>0.21353383550769231</v>
      </c>
      <c r="F1499">
        <f>0.711779451692308*(0.3)</f>
        <v>0.21353383550769231</v>
      </c>
      <c r="G1499">
        <f>0.427067671015385*(0.3)</f>
        <v>0.12812030130461538</v>
      </c>
      <c r="H1499">
        <f>0.711779451692308*(0.3)</f>
        <v>0.21353383550769231</v>
      </c>
      <c r="I1499">
        <f>0.711779451692308*(0.3)</f>
        <v>0.21353383550769231</v>
      </c>
      <c r="J1499">
        <f>-0.142355890338462*(0.3)</f>
        <v>-4.2706767101538458E-2</v>
      </c>
      <c r="K1499">
        <f>0.711779451692308*(0.3)</f>
        <v>0.21353383550769231</v>
      </c>
      <c r="L1499">
        <f>0.348771931329231*(0.3)</f>
        <v>0.10463157939876923</v>
      </c>
      <c r="M1499">
        <f>0.782957396861539*(0.3)</f>
        <v>0.23488721905846155</v>
      </c>
      <c r="N1499">
        <f>0.711779451692308*(0.3)</f>
        <v>0.21353383550769231</v>
      </c>
    </row>
    <row r="1500" spans="1:14" x14ac:dyDescent="0.25">
      <c r="A1500">
        <f>1.053196264*(0.3)</f>
        <v>0.31595887920000004</v>
      </c>
      <c r="B1500">
        <f>-0.0810150972307692*(0.3)</f>
        <v>-2.4304529169230774E-2</v>
      </c>
      <c r="C1500">
        <f>-0.243045291692308*(0.3)</f>
        <v>-7.2913587507692321E-2</v>
      </c>
      <c r="D1500">
        <f>-0.0810150972307692*(0.3)</f>
        <v>-2.4304529169230774E-2</v>
      </c>
      <c r="E1500">
        <f>-0.0810150972307692*(0.3)</f>
        <v>-2.4304529169230774E-2</v>
      </c>
      <c r="F1500">
        <f>-0.0810150972307692*(0.3)</f>
        <v>-2.4304529169230774E-2</v>
      </c>
      <c r="G1500">
        <f>-0.0486090583384615*(0.3)</f>
        <v>-1.4582717501538464E-2</v>
      </c>
      <c r="H1500">
        <f>-0.0810150972307692*(0.3)</f>
        <v>-2.4304529169230774E-2</v>
      </c>
      <c r="I1500">
        <f>-0.0810150972307692*(0.3)</f>
        <v>-2.4304529169230774E-2</v>
      </c>
      <c r="J1500">
        <f>0.0162030194461538*(0.3)</f>
        <v>4.8609058338461531E-3</v>
      </c>
      <c r="K1500">
        <f>-0.0810150972307692*(0.3)</f>
        <v>-2.4304529169230774E-2</v>
      </c>
      <c r="L1500">
        <f>-0.0396973976430769*(0.3)</f>
        <v>-1.1909219292923079E-2</v>
      </c>
      <c r="M1500">
        <f>-0.0891166069538462*(0.3)</f>
        <v>-2.6734982086153856E-2</v>
      </c>
      <c r="N1500">
        <f>-0.0810150972307692*(0.3)</f>
        <v>-2.4304529169230774E-2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x'j'x</dc:creator>
  <cp:lastModifiedBy>邢景旭 男</cp:lastModifiedBy>
  <dcterms:created xsi:type="dcterms:W3CDTF">2015-06-05T18:19:34Z</dcterms:created>
  <dcterms:modified xsi:type="dcterms:W3CDTF">2025-11-11T11:15:08Z</dcterms:modified>
</cp:coreProperties>
</file>